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hutton-my.sharepoint.com/personal/mads_troldborg_hutton_ac_uk/Documents/Git/pharma-risk-BN/Data/raw/"/>
    </mc:Choice>
  </mc:AlternateContent>
  <xr:revisionPtr revIDLastSave="15" documentId="13_ncr:1_{9FDDED48-0515-4570-A629-41181FD6675E}" xr6:coauthVersionLast="47" xr6:coauthVersionMax="47" xr10:uidLastSave="{82B32A91-AF90-4597-9C4C-0B94F3C9032B}"/>
  <bookViews>
    <workbookView xWindow="-120" yWindow="-120" windowWidth="29040" windowHeight="15720" activeTab="1" xr2:uid="{2820941C-69AC-4B84-880B-B56D0774E992}"/>
  </bookViews>
  <sheets>
    <sheet name="readme" sheetId="5" r:id="rId1"/>
    <sheet name="ER_unchanged" sheetId="3" r:id="rId2"/>
    <sheet name="references" sheetId="2" r:id="rId3"/>
  </sheets>
  <definedNames>
    <definedName name="_xlnm._FilterDatabase" localSheetId="1" hidden="1">ER_unchanged!$A$1:$W$623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5" i="3" l="1"/>
  <c r="C304" i="3"/>
  <c r="C13" i="3"/>
  <c r="C14" i="3" s="1"/>
  <c r="C15" i="3" s="1"/>
  <c r="B292" i="3"/>
  <c r="D292" i="3" s="1"/>
  <c r="B390" i="3"/>
  <c r="B388" i="3"/>
  <c r="B387" i="3"/>
  <c r="B385" i="3"/>
  <c r="B384" i="3"/>
  <c r="D384" i="3" s="1"/>
  <c r="B383" i="3"/>
  <c r="D383" i="3" s="1"/>
  <c r="B382" i="3"/>
  <c r="D382" i="3" s="1"/>
  <c r="B381" i="3"/>
  <c r="D381" i="3" s="1"/>
  <c r="B380" i="3"/>
  <c r="B379" i="3"/>
  <c r="B378" i="3"/>
  <c r="B377" i="3"/>
  <c r="B376" i="3"/>
  <c r="B375" i="3"/>
  <c r="B374" i="3"/>
  <c r="D374" i="3" s="1"/>
  <c r="B372" i="3"/>
  <c r="D372" i="3" s="1"/>
  <c r="B371" i="3"/>
  <c r="D371" i="3" s="1"/>
  <c r="B349" i="3"/>
  <c r="D349" i="3" s="1"/>
  <c r="B368" i="3"/>
  <c r="B340" i="3"/>
  <c r="D340" i="3" s="1"/>
  <c r="B339" i="3"/>
  <c r="D339" i="3" s="1"/>
  <c r="B329" i="3"/>
  <c r="D329" i="3" s="1"/>
  <c r="B327" i="3"/>
  <c r="B285" i="3"/>
  <c r="D285" i="3" s="1"/>
  <c r="B288" i="3"/>
  <c r="B280" i="3"/>
  <c r="B279" i="3"/>
  <c r="B44" i="3"/>
  <c r="D44" i="3" s="1"/>
  <c r="C19" i="3"/>
  <c r="D19" i="3" s="1"/>
  <c r="C18" i="3"/>
  <c r="D18" i="3" s="1"/>
  <c r="D47" i="3"/>
  <c r="D46" i="3"/>
  <c r="C9" i="3"/>
  <c r="D9" i="3" s="1"/>
  <c r="C6" i="3"/>
  <c r="D6" i="3" s="1"/>
  <c r="D16" i="3"/>
  <c r="D17" i="3"/>
  <c r="B542" i="3"/>
  <c r="D542" i="3" s="1"/>
  <c r="B541" i="3"/>
  <c r="D541" i="3" s="1"/>
  <c r="B15" i="3"/>
  <c r="D539" i="3"/>
  <c r="D40" i="3"/>
  <c r="D623" i="3"/>
  <c r="D622" i="3"/>
  <c r="D621" i="3"/>
  <c r="D620" i="3"/>
  <c r="D619" i="3"/>
  <c r="D618" i="3"/>
  <c r="D617" i="3"/>
  <c r="D615" i="3"/>
  <c r="D614" i="3"/>
  <c r="D613" i="3"/>
  <c r="D612" i="3"/>
  <c r="D611" i="3"/>
  <c r="D610" i="3"/>
  <c r="D609" i="3"/>
  <c r="D608" i="3"/>
  <c r="D607" i="3"/>
  <c r="D606" i="3"/>
  <c r="D605" i="3"/>
  <c r="D604" i="3"/>
  <c r="D603" i="3"/>
  <c r="D602" i="3"/>
  <c r="D601" i="3"/>
  <c r="D600" i="3"/>
  <c r="D599" i="3"/>
  <c r="D598" i="3"/>
  <c r="B597" i="3"/>
  <c r="D597" i="3" s="1"/>
  <c r="D596" i="3"/>
  <c r="D595" i="3"/>
  <c r="D594" i="3"/>
  <c r="D593" i="3"/>
  <c r="D592" i="3"/>
  <c r="D591" i="3"/>
  <c r="D590" i="3"/>
  <c r="B589" i="3"/>
  <c r="D589" i="3" s="1"/>
  <c r="B588" i="3"/>
  <c r="D588" i="3" s="1"/>
  <c r="D587" i="3"/>
  <c r="D586" i="3"/>
  <c r="D585" i="3"/>
  <c r="D584" i="3"/>
  <c r="D583" i="3"/>
  <c r="D582" i="3"/>
  <c r="D581" i="3"/>
  <c r="D580" i="3"/>
  <c r="D579" i="3"/>
  <c r="D578" i="3"/>
  <c r="D577" i="3"/>
  <c r="D576" i="3"/>
  <c r="D575" i="3"/>
  <c r="D574" i="3"/>
  <c r="D573" i="3"/>
  <c r="D572" i="3"/>
  <c r="B571" i="3"/>
  <c r="D571" i="3" s="1"/>
  <c r="D570" i="3"/>
  <c r="D569" i="3"/>
  <c r="D568" i="3"/>
  <c r="D567" i="3"/>
  <c r="D566" i="3"/>
  <c r="D565" i="3"/>
  <c r="D564" i="3"/>
  <c r="D563" i="3"/>
  <c r="D562" i="3"/>
  <c r="D561" i="3"/>
  <c r="D560" i="3"/>
  <c r="D559" i="3"/>
  <c r="D558" i="3"/>
  <c r="D557" i="3"/>
  <c r="D556" i="3"/>
  <c r="D555" i="3"/>
  <c r="D554" i="3"/>
  <c r="D553" i="3"/>
  <c r="D552" i="3"/>
  <c r="D551" i="3"/>
  <c r="D550" i="3"/>
  <c r="D549" i="3"/>
  <c r="D548" i="3"/>
  <c r="D547" i="3"/>
  <c r="D546" i="3"/>
  <c r="B545" i="3"/>
  <c r="D545" i="3" s="1"/>
  <c r="D544" i="3"/>
  <c r="D543" i="3"/>
  <c r="B540" i="3"/>
  <c r="D540" i="3" s="1"/>
  <c r="R538" i="3"/>
  <c r="B538" i="3"/>
  <c r="D538" i="3" s="1"/>
  <c r="R537" i="3"/>
  <c r="B537" i="3"/>
  <c r="D537" i="3" s="1"/>
  <c r="R536" i="3"/>
  <c r="B536" i="3"/>
  <c r="D536" i="3" s="1"/>
  <c r="R535" i="3"/>
  <c r="B535" i="3"/>
  <c r="D535" i="3" s="1"/>
  <c r="N534" i="3"/>
  <c r="D534" i="3"/>
  <c r="D533" i="3"/>
  <c r="W532" i="3"/>
  <c r="D532" i="3"/>
  <c r="D530" i="3"/>
  <c r="D529" i="3"/>
  <c r="D528" i="3"/>
  <c r="S527" i="3"/>
  <c r="R527" i="3"/>
  <c r="Q527" i="3"/>
  <c r="B527" i="3"/>
  <c r="D527" i="3" s="1"/>
  <c r="D525" i="3"/>
  <c r="D524" i="3"/>
  <c r="D523" i="3"/>
  <c r="D522" i="3"/>
  <c r="D521" i="3"/>
  <c r="D520" i="3"/>
  <c r="D519" i="3"/>
  <c r="D518" i="3"/>
  <c r="D517" i="3"/>
  <c r="D516" i="3"/>
  <c r="D515" i="3"/>
  <c r="D514" i="3"/>
  <c r="D513" i="3"/>
  <c r="D512" i="3"/>
  <c r="D511" i="3"/>
  <c r="D510" i="3"/>
  <c r="D509" i="3"/>
  <c r="D508" i="3"/>
  <c r="D507" i="3"/>
  <c r="D506" i="3"/>
  <c r="D505" i="3"/>
  <c r="D504" i="3"/>
  <c r="D503" i="3"/>
  <c r="D502" i="3"/>
  <c r="D501" i="3"/>
  <c r="D500" i="3"/>
  <c r="D499" i="3"/>
  <c r="B498" i="3"/>
  <c r="D498" i="3" s="1"/>
  <c r="D497" i="3"/>
  <c r="D496" i="3"/>
  <c r="D495" i="3"/>
  <c r="D494" i="3"/>
  <c r="B491" i="3"/>
  <c r="D491" i="3" s="1"/>
  <c r="D490" i="3"/>
  <c r="D489" i="3"/>
  <c r="D488" i="3"/>
  <c r="D486" i="3"/>
  <c r="D485" i="3"/>
  <c r="D484" i="3"/>
  <c r="Q483" i="3"/>
  <c r="B483" i="3"/>
  <c r="D483" i="3" s="1"/>
  <c r="D482" i="3"/>
  <c r="D481" i="3"/>
  <c r="D480" i="3"/>
  <c r="D479" i="3"/>
  <c r="D478" i="3"/>
  <c r="D477" i="3"/>
  <c r="D476" i="3"/>
  <c r="D475" i="3"/>
  <c r="D474" i="3"/>
  <c r="D473" i="3"/>
  <c r="D472" i="3"/>
  <c r="D471" i="3"/>
  <c r="D470" i="3"/>
  <c r="D469" i="3"/>
  <c r="D468" i="3"/>
  <c r="D467" i="3"/>
  <c r="D466" i="3"/>
  <c r="D465" i="3"/>
  <c r="B464" i="3"/>
  <c r="D464" i="3" s="1"/>
  <c r="D462" i="3"/>
  <c r="D461" i="3"/>
  <c r="D460" i="3"/>
  <c r="D459" i="3"/>
  <c r="D458" i="3"/>
  <c r="B457" i="3"/>
  <c r="D457" i="3" s="1"/>
  <c r="D456" i="3"/>
  <c r="D455" i="3"/>
  <c r="D454" i="3"/>
  <c r="D453" i="3"/>
  <c r="D452" i="3"/>
  <c r="D451" i="3"/>
  <c r="D450" i="3"/>
  <c r="D449" i="3"/>
  <c r="D445" i="3"/>
  <c r="D444" i="3"/>
  <c r="D442" i="3"/>
  <c r="D441" i="3"/>
  <c r="D440" i="3"/>
  <c r="D439" i="3"/>
  <c r="D438" i="3"/>
  <c r="D437" i="3"/>
  <c r="D436" i="3"/>
  <c r="D435" i="3"/>
  <c r="D434" i="3"/>
  <c r="D433" i="3"/>
  <c r="D432" i="3"/>
  <c r="D430" i="3"/>
  <c r="D429" i="3"/>
  <c r="D428" i="3"/>
  <c r="D427" i="3"/>
  <c r="D426" i="3"/>
  <c r="D425" i="3"/>
  <c r="D424" i="3"/>
  <c r="D423" i="3"/>
  <c r="D422" i="3"/>
  <c r="D421" i="3"/>
  <c r="D420" i="3"/>
  <c r="D419" i="3"/>
  <c r="D418" i="3"/>
  <c r="D417" i="3"/>
  <c r="D416" i="3"/>
  <c r="D415" i="3"/>
  <c r="D414" i="3"/>
  <c r="D413" i="3"/>
  <c r="C412" i="3"/>
  <c r="D412" i="3" s="1"/>
  <c r="D410" i="3"/>
  <c r="D409" i="3"/>
  <c r="D408" i="3"/>
  <c r="D407" i="3"/>
  <c r="D406" i="3"/>
  <c r="Q405" i="3"/>
  <c r="B405" i="3"/>
  <c r="D405" i="3" s="1"/>
  <c r="D403" i="3"/>
  <c r="D401" i="3"/>
  <c r="D400" i="3"/>
  <c r="D399" i="3"/>
  <c r="D397" i="3"/>
  <c r="D396" i="3"/>
  <c r="D395" i="3"/>
  <c r="D394" i="3"/>
  <c r="D393" i="3"/>
  <c r="D392" i="3"/>
  <c r="D390" i="3"/>
  <c r="D389" i="3"/>
  <c r="D388" i="3"/>
  <c r="D387" i="3"/>
  <c r="D386" i="3"/>
  <c r="D385" i="3"/>
  <c r="D380" i="3"/>
  <c r="D379" i="3"/>
  <c r="D378" i="3"/>
  <c r="D377" i="3"/>
  <c r="D376" i="3"/>
  <c r="D375" i="3"/>
  <c r="D373" i="3"/>
  <c r="D369" i="3"/>
  <c r="D368" i="3"/>
  <c r="B367" i="3"/>
  <c r="D367" i="3" s="1"/>
  <c r="D365" i="3"/>
  <c r="D364" i="3"/>
  <c r="D363" i="3"/>
  <c r="D362" i="3"/>
  <c r="B361" i="3"/>
  <c r="D361" i="3" s="1"/>
  <c r="B360" i="3"/>
  <c r="D360" i="3" s="1"/>
  <c r="Q359" i="3"/>
  <c r="B359" i="3"/>
  <c r="D359" i="3" s="1"/>
  <c r="D358" i="3"/>
  <c r="D357" i="3"/>
  <c r="D356" i="3"/>
  <c r="D355" i="3"/>
  <c r="D354" i="3"/>
  <c r="D353" i="3"/>
  <c r="B352" i="3"/>
  <c r="D352" i="3" s="1"/>
  <c r="D351" i="3"/>
  <c r="D350" i="3"/>
  <c r="D348" i="3"/>
  <c r="D347" i="3"/>
  <c r="D346" i="3"/>
  <c r="D345" i="3"/>
  <c r="D343" i="3"/>
  <c r="D342" i="3"/>
  <c r="P341" i="3"/>
  <c r="D341" i="3"/>
  <c r="D338" i="3"/>
  <c r="D337" i="3"/>
  <c r="D336" i="3"/>
  <c r="D335" i="3"/>
  <c r="B333" i="3"/>
  <c r="D333" i="3" s="1"/>
  <c r="D331" i="3"/>
  <c r="D330" i="3"/>
  <c r="R329" i="3"/>
  <c r="Q329" i="3"/>
  <c r="D328" i="3"/>
  <c r="D327" i="3"/>
  <c r="B326" i="3"/>
  <c r="D326" i="3" s="1"/>
  <c r="D325" i="3"/>
  <c r="D324" i="3"/>
  <c r="D323" i="3"/>
  <c r="D322" i="3"/>
  <c r="D321" i="3"/>
  <c r="D320" i="3"/>
  <c r="D319" i="3"/>
  <c r="W318" i="3"/>
  <c r="D318" i="3"/>
  <c r="W317" i="3"/>
  <c r="D317" i="3"/>
  <c r="W316" i="3"/>
  <c r="D316" i="3"/>
  <c r="W315" i="3"/>
  <c r="D315" i="3"/>
  <c r="C310" i="3"/>
  <c r="B310" i="3"/>
  <c r="D308" i="3"/>
  <c r="B306" i="3"/>
  <c r="D306" i="3" s="1"/>
  <c r="D305" i="3"/>
  <c r="D304" i="3"/>
  <c r="C303" i="3"/>
  <c r="D303" i="3" s="1"/>
  <c r="D302" i="3"/>
  <c r="C300" i="3"/>
  <c r="B300" i="3"/>
  <c r="D299" i="3"/>
  <c r="D298" i="3"/>
  <c r="D297" i="3"/>
  <c r="D296" i="3"/>
  <c r="C295" i="3"/>
  <c r="B295" i="3"/>
  <c r="B294" i="3"/>
  <c r="D294" i="3" s="1"/>
  <c r="P293" i="3"/>
  <c r="D293" i="3"/>
  <c r="D291" i="3"/>
  <c r="D288" i="3"/>
  <c r="D287" i="3"/>
  <c r="V285" i="3"/>
  <c r="U285" i="3"/>
  <c r="R285" i="3"/>
  <c r="Q285" i="3"/>
  <c r="D284" i="3"/>
  <c r="B283" i="3"/>
  <c r="D283" i="3" s="1"/>
  <c r="D282" i="3"/>
  <c r="D281" i="3"/>
  <c r="D280" i="3"/>
  <c r="D279" i="3"/>
  <c r="D277" i="3"/>
  <c r="D276" i="3"/>
  <c r="D272" i="3"/>
  <c r="D271" i="3"/>
  <c r="D270" i="3"/>
  <c r="B269" i="3"/>
  <c r="D269" i="3" s="1"/>
  <c r="D268" i="3"/>
  <c r="D267" i="3"/>
  <c r="D266" i="3"/>
  <c r="D265" i="3"/>
  <c r="B264" i="3"/>
  <c r="D264" i="3" s="1"/>
  <c r="B262" i="3"/>
  <c r="D262" i="3" s="1"/>
  <c r="D261" i="3"/>
  <c r="D260" i="3"/>
  <c r="D259" i="3"/>
  <c r="D258" i="3"/>
  <c r="D257" i="3"/>
  <c r="D256" i="3"/>
  <c r="O255" i="3"/>
  <c r="N255" i="3"/>
  <c r="D255" i="3"/>
  <c r="D254" i="3"/>
  <c r="D253" i="3"/>
  <c r="B252" i="3"/>
  <c r="D252" i="3" s="1"/>
  <c r="D251" i="3"/>
  <c r="D250" i="3"/>
  <c r="D249" i="3"/>
  <c r="D248" i="3"/>
  <c r="D247" i="3"/>
  <c r="D246" i="3"/>
  <c r="D245" i="3"/>
  <c r="D244" i="3"/>
  <c r="D243" i="3"/>
  <c r="D242" i="3"/>
  <c r="B239" i="3"/>
  <c r="D239" i="3" s="1"/>
  <c r="B238" i="3"/>
  <c r="D238" i="3" s="1"/>
  <c r="B232" i="3"/>
  <c r="D232" i="3" s="1"/>
  <c r="D231" i="3"/>
  <c r="D230" i="3"/>
  <c r="D229" i="3"/>
  <c r="D228" i="3"/>
  <c r="D227" i="3"/>
  <c r="D226" i="3"/>
  <c r="D225" i="3"/>
  <c r="D224" i="3"/>
  <c r="D223" i="3"/>
  <c r="D222" i="3"/>
  <c r="D221" i="3"/>
  <c r="D220" i="3"/>
  <c r="B219" i="3"/>
  <c r="D219" i="3" s="1"/>
  <c r="E219" i="3"/>
  <c r="D218" i="3"/>
  <c r="D217" i="3"/>
  <c r="D216" i="3"/>
  <c r="D215" i="3"/>
  <c r="D214" i="3"/>
  <c r="D213" i="3"/>
  <c r="D211" i="3"/>
  <c r="D210" i="3"/>
  <c r="D209" i="3"/>
  <c r="D208" i="3"/>
  <c r="D207" i="3"/>
  <c r="D206" i="3"/>
  <c r="D205" i="3"/>
  <c r="B204" i="3"/>
  <c r="D204" i="3" s="1"/>
  <c r="D203" i="3"/>
  <c r="D202" i="3"/>
  <c r="D201" i="3"/>
  <c r="C200" i="3"/>
  <c r="B200" i="3"/>
  <c r="D199" i="3"/>
  <c r="D198" i="3"/>
  <c r="N197" i="3"/>
  <c r="D197" i="3"/>
  <c r="D196" i="3"/>
  <c r="N195" i="3"/>
  <c r="B195" i="3"/>
  <c r="D195" i="3" s="1"/>
  <c r="D194" i="3"/>
  <c r="D193" i="3"/>
  <c r="D192" i="3"/>
  <c r="D191" i="3"/>
  <c r="B190" i="3"/>
  <c r="D190" i="3" s="1"/>
  <c r="B189" i="3"/>
  <c r="D189" i="3" s="1"/>
  <c r="C188" i="3"/>
  <c r="B188" i="3"/>
  <c r="B187" i="3"/>
  <c r="D187" i="3" s="1"/>
  <c r="D186" i="3"/>
  <c r="D185" i="3"/>
  <c r="D184" i="3"/>
  <c r="D183" i="3"/>
  <c r="D182" i="3"/>
  <c r="D181" i="3"/>
  <c r="D180" i="3"/>
  <c r="D179" i="3"/>
  <c r="D178" i="3"/>
  <c r="D177" i="3"/>
  <c r="D176" i="3"/>
  <c r="D175" i="3"/>
  <c r="D174" i="3"/>
  <c r="D173" i="3"/>
  <c r="D170" i="3"/>
  <c r="D169" i="3"/>
  <c r="C168" i="3"/>
  <c r="D168" i="3" s="1"/>
  <c r="C167" i="3"/>
  <c r="D167" i="3" s="1"/>
  <c r="D166" i="3"/>
  <c r="D165" i="3"/>
  <c r="D162" i="3"/>
  <c r="D161" i="3"/>
  <c r="D160" i="3"/>
  <c r="D157" i="3"/>
  <c r="D156" i="3"/>
  <c r="D155" i="3"/>
  <c r="D154" i="3"/>
  <c r="D153" i="3"/>
  <c r="D152" i="3"/>
  <c r="C151" i="3"/>
  <c r="B151" i="3"/>
  <c r="B150" i="3"/>
  <c r="D150" i="3" s="1"/>
  <c r="D149" i="3"/>
  <c r="D148" i="3"/>
  <c r="D147" i="3"/>
  <c r="B145" i="3"/>
  <c r="D145" i="3" s="1"/>
  <c r="B144" i="3"/>
  <c r="D144" i="3" s="1"/>
  <c r="D143" i="3"/>
  <c r="D140" i="3"/>
  <c r="D139" i="3"/>
  <c r="D138" i="3"/>
  <c r="D137" i="3"/>
  <c r="D136" i="3"/>
  <c r="D135" i="3"/>
  <c r="D134" i="3"/>
  <c r="D133" i="3"/>
  <c r="C132" i="3"/>
  <c r="D132" i="3" s="1"/>
  <c r="D131" i="3"/>
  <c r="D130" i="3"/>
  <c r="D129" i="3"/>
  <c r="D128" i="3"/>
  <c r="D127" i="3"/>
  <c r="D126" i="3"/>
  <c r="D125" i="3"/>
  <c r="D124" i="3"/>
  <c r="D123" i="3"/>
  <c r="D122" i="3"/>
  <c r="D121" i="3"/>
  <c r="D120" i="3"/>
  <c r="C119" i="3"/>
  <c r="D119" i="3" s="1"/>
  <c r="C118" i="3"/>
  <c r="D118" i="3" s="1"/>
  <c r="D117" i="3"/>
  <c r="D116" i="3"/>
  <c r="D115" i="3"/>
  <c r="S114" i="3"/>
  <c r="R114" i="3"/>
  <c r="Q114" i="3"/>
  <c r="D114" i="3"/>
  <c r="D113" i="3"/>
  <c r="D112" i="3"/>
  <c r="D111" i="3"/>
  <c r="D110" i="3"/>
  <c r="D109" i="3"/>
  <c r="D108" i="3"/>
  <c r="D107" i="3"/>
  <c r="D106" i="3"/>
  <c r="D105" i="3"/>
  <c r="D104" i="3"/>
  <c r="D103" i="3"/>
  <c r="D102" i="3"/>
  <c r="D101" i="3"/>
  <c r="D100" i="3"/>
  <c r="D99" i="3"/>
  <c r="D98" i="3"/>
  <c r="D97" i="3"/>
  <c r="D96" i="3"/>
  <c r="D95" i="3"/>
  <c r="D94" i="3"/>
  <c r="D93" i="3"/>
  <c r="D92" i="3"/>
  <c r="D91" i="3"/>
  <c r="D90" i="3"/>
  <c r="D88" i="3"/>
  <c r="D87" i="3"/>
  <c r="D86" i="3"/>
  <c r="D85" i="3"/>
  <c r="D83" i="3"/>
  <c r="D82" i="3"/>
  <c r="D81" i="3"/>
  <c r="D80" i="3"/>
  <c r="D79" i="3"/>
  <c r="D78" i="3"/>
  <c r="D77" i="3"/>
  <c r="D76" i="3"/>
  <c r="D75" i="3"/>
  <c r="D74" i="3"/>
  <c r="D73" i="3"/>
  <c r="D72" i="3"/>
  <c r="D71" i="3"/>
  <c r="D70" i="3"/>
  <c r="D69" i="3"/>
  <c r="D68" i="3"/>
  <c r="B67" i="3"/>
  <c r="D67" i="3" s="1"/>
  <c r="B66" i="3"/>
  <c r="D66" i="3" s="1"/>
  <c r="D65" i="3"/>
  <c r="D64" i="3"/>
  <c r="D63" i="3"/>
  <c r="D62" i="3"/>
  <c r="D61" i="3"/>
  <c r="D60" i="3"/>
  <c r="D59" i="3"/>
  <c r="D58" i="3"/>
  <c r="D57" i="3"/>
  <c r="D56" i="3"/>
  <c r="B55" i="3"/>
  <c r="D55" i="3" s="1"/>
  <c r="D54" i="3"/>
  <c r="D53" i="3"/>
  <c r="D52" i="3"/>
  <c r="W50" i="3"/>
  <c r="C50" i="3"/>
  <c r="D50" i="3" s="1"/>
  <c r="D49" i="3"/>
  <c r="D48" i="3"/>
  <c r="D45" i="3"/>
  <c r="B45" i="3"/>
  <c r="D41" i="3"/>
  <c r="V40" i="3"/>
  <c r="D39" i="3"/>
  <c r="D37" i="3"/>
  <c r="D36" i="3"/>
  <c r="D33" i="3"/>
  <c r="D31" i="3"/>
  <c r="C27" i="3"/>
  <c r="D27" i="3" s="1"/>
  <c r="D26" i="3"/>
  <c r="B24" i="3"/>
  <c r="D24" i="3" s="1"/>
  <c r="D23" i="3"/>
  <c r="D22" i="3"/>
  <c r="D21" i="3"/>
  <c r="N20" i="3"/>
  <c r="C20" i="3"/>
  <c r="D20" i="3" s="1"/>
  <c r="D10" i="3"/>
  <c r="D8" i="3"/>
  <c r="C5" i="3"/>
  <c r="B5" i="3"/>
  <c r="C2" i="3"/>
  <c r="D2" i="3" s="1"/>
  <c r="D7" i="3" l="1"/>
  <c r="D4" i="3"/>
  <c r="D5" i="3"/>
  <c r="D188" i="3"/>
  <c r="D200" i="3"/>
  <c r="D151" i="3"/>
  <c r="D295" i="3"/>
  <c r="D310" i="3"/>
  <c r="D30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Mads Troldborg</author>
  </authors>
  <commentList>
    <comment ref="B2" authorId="0" shapeId="0" xr:uid="{E2DD3A56-9BF3-47EC-8332-5CFEB3D96B09}">
      <text>
        <r>
          <rPr>
            <b/>
            <sz val="9"/>
            <color indexed="81"/>
            <rFont val="Tahoma"/>
            <family val="2"/>
          </rPr>
          <t>Mads Troldborg:</t>
        </r>
        <r>
          <rPr>
            <sz val="9"/>
            <color indexed="81"/>
            <rFont val="Tahoma"/>
            <family val="2"/>
          </rPr>
          <t xml:space="preserve">
6% of administered dose excreted unchanged with urine. However, it is stated that Biliary excretion of azithromycin, primarily as unchanged drug, is a major route of elimination. 
It is stated that bioavailability is 37%, hence 63% might be excreted with faeces.  
I think bioavailability value originates from  
Foulds et al. (1990) Journal of Antimicrobial Chemotherapy, Volume 25, Issue suppl_A, 1990, Pages 73–82, https://doi.org/10.1093/jac/25.suppl_A.73</t>
        </r>
      </text>
    </comment>
    <comment ref="B4" authorId="0" shapeId="0" xr:uid="{A6EADA71-1D48-40A7-980B-361D57C02FFC}">
      <text>
        <r>
          <rPr>
            <b/>
            <sz val="9"/>
            <color indexed="81"/>
            <rFont val="Tahoma"/>
            <family val="2"/>
          </rPr>
          <t>Mads Troldborg:</t>
        </r>
        <r>
          <rPr>
            <sz val="9"/>
            <color indexed="81"/>
            <rFont val="Tahoma"/>
            <family val="2"/>
          </rPr>
          <t xml:space="preserve">
Kummerer &amp; Henninger paper does not specify if excretion is urine only or total. It is not clear where the values are from</t>
        </r>
      </text>
    </comment>
    <comment ref="D4" authorId="0" shapeId="0" xr:uid="{21178D92-3027-4CB6-839C-7C7D5948DA25}">
      <text>
        <r>
          <rPr>
            <b/>
            <sz val="9"/>
            <color indexed="81"/>
            <rFont val="Tahoma"/>
            <family val="2"/>
          </rPr>
          <t>Mads Troldborg:</t>
        </r>
        <r>
          <rPr>
            <sz val="9"/>
            <color indexed="81"/>
            <rFont val="Tahoma"/>
            <family val="2"/>
          </rPr>
          <t xml:space="preserve">
Kummerer &amp; Henninger paper does not specify if excretion is urine only or total. It is not clear where the values are from</t>
        </r>
      </text>
    </comment>
    <comment ref="B5" authorId="0" shapeId="0" xr:uid="{B9FE8DF9-5AE9-4C51-AA36-A85D118C198C}">
      <text>
        <r>
          <rPr>
            <b/>
            <sz val="9"/>
            <color indexed="81"/>
            <rFont val="Tahoma"/>
            <family val="2"/>
          </rPr>
          <t>Mads Troldborg:</t>
        </r>
        <r>
          <rPr>
            <sz val="9"/>
            <color indexed="81"/>
            <rFont val="Tahoma"/>
            <family val="2"/>
          </rPr>
          <t xml:space="preserve">
Verlicchi reports 12% excretion rate taken from the Ortiz de Garcia study. However, I think the 12%  refers to 12% of the absorbed amount. In the Ortiz de Garcia paper the absorbed amount is 38%; hence excretion via urine should be 0.12*0.38, and the excretion via faeces should 62% (assuming anything not absorbed to be excreted unchanged in faeces).
</t>
        </r>
      </text>
    </comment>
    <comment ref="D7" authorId="0" shapeId="0" xr:uid="{31F447F5-8E1C-43DB-ADC1-838201C7167B}">
      <text>
        <r>
          <rPr>
            <b/>
            <sz val="9"/>
            <color indexed="81"/>
            <rFont val="Tahoma"/>
            <family val="2"/>
          </rPr>
          <t>Mads Troldborg:</t>
        </r>
        <r>
          <rPr>
            <sz val="9"/>
            <color indexed="81"/>
            <rFont val="Tahoma"/>
            <family val="2"/>
          </rPr>
          <t xml:space="preserve">
Kummerer &amp; Henninger paper does not specify if excretion is urine only or total. It is not clear where the values are from</t>
        </r>
      </text>
    </comment>
    <comment ref="C8" authorId="0" shapeId="0" xr:uid="{CC32573B-6D43-4593-AC73-347FB245E3FC}">
      <text>
        <r>
          <rPr>
            <b/>
            <sz val="9"/>
            <color indexed="81"/>
            <rFont val="Tahoma"/>
            <family val="2"/>
          </rPr>
          <t>Mads Troldborg:</t>
        </r>
        <r>
          <rPr>
            <sz val="9"/>
            <color indexed="81"/>
            <rFont val="Tahoma"/>
            <family val="2"/>
          </rPr>
          <t xml:space="preserve">
It is stated that bioavailability is 37%, hence 63% might be excreted with faeces.  </t>
        </r>
      </text>
    </comment>
    <comment ref="D9" authorId="0" shapeId="0" xr:uid="{A892BEFF-12FB-4F2B-A951-3967C6B5762C}">
      <text>
        <r>
          <rPr>
            <b/>
            <sz val="9"/>
            <color indexed="81"/>
            <rFont val="Tahoma"/>
            <family val="2"/>
          </rPr>
          <t>Mads Troldborg:</t>
        </r>
        <r>
          <rPr>
            <sz val="9"/>
            <color indexed="81"/>
            <rFont val="Tahoma"/>
            <family val="2"/>
          </rPr>
          <t xml:space="preserve">
Kummerer &amp; Henninger paper does not specify if excretion is urine only or total. It is not clear where the values are from</t>
        </r>
      </text>
    </comment>
    <comment ref="B20" authorId="0" shapeId="0" xr:uid="{F5BA10D3-4774-4FA3-AFA5-E7DA06B9E10A}">
      <text>
        <r>
          <rPr>
            <b/>
            <sz val="9"/>
            <color indexed="81"/>
            <rFont val="Tahoma"/>
            <charset val="1"/>
          </rPr>
          <t>Mads Troldborg:</t>
        </r>
        <r>
          <rPr>
            <sz val="9"/>
            <color indexed="81"/>
            <rFont val="Tahoma"/>
            <charset val="1"/>
          </rPr>
          <t xml:space="preserve">
range: 33.2-75.9</t>
        </r>
      </text>
    </comment>
    <comment ref="C20" authorId="0" shapeId="0" xr:uid="{D965CA78-BAE4-4EFC-A386-A8A40AB98654}">
      <text>
        <r>
          <rPr>
            <b/>
            <sz val="9"/>
            <color indexed="81"/>
            <rFont val="Tahoma"/>
            <family val="2"/>
          </rPr>
          <t>Mads Troldborg:</t>
        </r>
        <r>
          <rPr>
            <sz val="9"/>
            <color indexed="81"/>
            <rFont val="Tahoma"/>
            <family val="2"/>
          </rPr>
          <t xml:space="preserve">
Since approximately 95% of the administered 14C-bezafibrate was excreted in urine within 48 h, and almost all the remainder was detected in feces, absorption can be regarded as complete after administration in solution</t>
        </r>
      </text>
    </comment>
    <comment ref="B24" authorId="0" shapeId="0" xr:uid="{FCFDF665-CD45-4C68-BC2D-7BB52AF5A0E5}">
      <text>
        <r>
          <rPr>
            <b/>
            <sz val="9"/>
            <color indexed="81"/>
            <rFont val="Tahoma"/>
            <family val="2"/>
          </rPr>
          <t>Mads Troldborg:</t>
        </r>
        <r>
          <rPr>
            <sz val="9"/>
            <color indexed="81"/>
            <rFont val="Tahoma"/>
            <family val="2"/>
          </rPr>
          <t xml:space="preserve">
Range - unchanged: 
47-50 (urine), 2-3 (faeces)</t>
        </r>
      </text>
    </comment>
    <comment ref="R24" authorId="0" shapeId="0" xr:uid="{B7F2EA74-91AF-458C-9D51-410113030AED}">
      <text>
        <r>
          <rPr>
            <b/>
            <sz val="9"/>
            <color indexed="81"/>
            <rFont val="Tahoma"/>
            <family val="2"/>
          </rPr>
          <t>Mads Troldborg:</t>
        </r>
        <r>
          <rPr>
            <sz val="9"/>
            <color indexed="81"/>
            <rFont val="Tahoma"/>
            <family val="2"/>
          </rPr>
          <t xml:space="preserve">
Range - metabolites
21-28</t>
        </r>
      </text>
    </comment>
    <comment ref="V24" authorId="0" shapeId="0" xr:uid="{260E1E67-63BD-410A-AA45-349F8CB35FAB}">
      <text>
        <r>
          <rPr>
            <b/>
            <sz val="9"/>
            <color indexed="81"/>
            <rFont val="Tahoma"/>
            <family val="2"/>
          </rPr>
          <t>Mads Troldborg:</t>
        </r>
        <r>
          <rPr>
            <sz val="9"/>
            <color indexed="81"/>
            <rFont val="Tahoma"/>
            <family val="2"/>
          </rPr>
          <t xml:space="preserve">
Range - conjugates:
14-24</t>
        </r>
      </text>
    </comment>
    <comment ref="D27" authorId="0" shapeId="0" xr:uid="{C14F19F0-22B0-4C19-87F5-4B7E22617D52}">
      <text>
        <r>
          <rPr>
            <b/>
            <sz val="9"/>
            <color indexed="81"/>
            <rFont val="Tahoma"/>
            <family val="2"/>
          </rPr>
          <t>Mads Troldborg:</t>
        </r>
        <r>
          <rPr>
            <sz val="9"/>
            <color indexed="81"/>
            <rFont val="Tahoma"/>
            <family val="2"/>
          </rPr>
          <t xml:space="preserve">
I think it is the total excretion that is reported - but it could be the excretion of absorbed amount, in which case the total ER would be between:
45%*95%+5% = 48%
Jjemba (2006) cited by Monteiro &amp; Boxal who report the range to be 40-69%; not sure where this range comes from</t>
        </r>
      </text>
    </comment>
    <comment ref="D28" authorId="0" shapeId="0" xr:uid="{34871694-44DF-4BD0-A6D5-75FE5575CD43}">
      <text>
        <r>
          <rPr>
            <b/>
            <sz val="9"/>
            <color indexed="81"/>
            <rFont val="Tahoma"/>
            <family val="2"/>
          </rPr>
          <t>Mads Troldborg:</t>
        </r>
        <r>
          <rPr>
            <sz val="9"/>
            <color indexed="81"/>
            <rFont val="Tahoma"/>
            <family val="2"/>
          </rPr>
          <t xml:space="preserve">
Ortiz de Garcia et al report 100% absorption of bezafribrate and  50% excretion </t>
        </r>
      </text>
    </comment>
    <comment ref="B33" authorId="0" shapeId="0" xr:uid="{9ABB6F14-18A7-4B3B-BCC1-3A99B763D949}">
      <text>
        <r>
          <rPr>
            <b/>
            <sz val="9"/>
            <color indexed="81"/>
            <rFont val="Tahoma"/>
            <family val="2"/>
          </rPr>
          <t>Mads Troldborg:</t>
        </r>
        <r>
          <rPr>
            <sz val="9"/>
            <color indexed="81"/>
            <rFont val="Tahoma"/>
            <family val="2"/>
          </rPr>
          <t xml:space="preserve">
Excretion unchanged via urine: 2%
Unabsorbed: 15-25%</t>
        </r>
      </text>
    </comment>
    <comment ref="C33" authorId="0" shapeId="0" xr:uid="{E83E2BD7-4F81-4B53-9EE0-AE198166F4D3}">
      <text>
        <r>
          <rPr>
            <b/>
            <sz val="9"/>
            <color indexed="81"/>
            <rFont val="Tahoma"/>
            <family val="2"/>
          </rPr>
          <t>Mads Troldborg:</t>
        </r>
        <r>
          <rPr>
            <sz val="9"/>
            <color indexed="81"/>
            <rFont val="Tahoma"/>
            <family val="2"/>
          </rPr>
          <t xml:space="preserve">
Excretion unchanged via urine: 2%
Unabsorbed: 15-25%</t>
        </r>
      </text>
    </comment>
    <comment ref="D33" authorId="0" shapeId="0" xr:uid="{647B002F-6853-41A1-9F62-48DA496A8DC2}">
      <text>
        <r>
          <rPr>
            <b/>
            <sz val="9"/>
            <color indexed="81"/>
            <rFont val="Tahoma"/>
            <family val="2"/>
          </rPr>
          <t>Mads Troldborg:</t>
        </r>
        <r>
          <rPr>
            <sz val="9"/>
            <color indexed="81"/>
            <rFont val="Tahoma"/>
            <family val="2"/>
          </rPr>
          <t xml:space="preserve">
Excretion unchanged via urine: 2%
Unabsorbed: 15-25%</t>
        </r>
      </text>
    </comment>
    <comment ref="D34" authorId="0" shapeId="0" xr:uid="{8EECD044-56E8-41D0-83A5-7F8E8506B89F}">
      <text>
        <r>
          <rPr>
            <b/>
            <sz val="9"/>
            <color indexed="81"/>
            <rFont val="Tahoma"/>
            <family val="2"/>
          </rPr>
          <t>Mads Troldborg:</t>
        </r>
        <r>
          <rPr>
            <sz val="9"/>
            <color indexed="81"/>
            <rFont val="Tahoma"/>
            <family val="2"/>
          </rPr>
          <t xml:space="preserve">
Coetsier et al cites the 15% value from the paper by Lienert et al. 2007. However, when looking at the values reported in the Lienert paper it is not clear  where the 15% originates from</t>
        </r>
      </text>
    </comment>
    <comment ref="W34" authorId="0" shapeId="0" xr:uid="{D90F0E30-2210-4235-BB70-ADFF19944241}">
      <text>
        <r>
          <rPr>
            <b/>
            <sz val="9"/>
            <color indexed="81"/>
            <rFont val="Tahoma"/>
            <family val="2"/>
          </rPr>
          <t>Mads Troldborg:</t>
        </r>
        <r>
          <rPr>
            <sz val="9"/>
            <color indexed="81"/>
            <rFont val="Tahoma"/>
            <family val="2"/>
          </rPr>
          <t xml:space="preserve">
Coetsier et al cites the 15% value from the paper by Lienert et al. 2007 </t>
        </r>
      </text>
    </comment>
    <comment ref="C36" authorId="0" shapeId="0" xr:uid="{909B5A7D-2B4C-4067-A531-0DE5188F862C}">
      <text>
        <r>
          <rPr>
            <b/>
            <sz val="9"/>
            <color indexed="81"/>
            <rFont val="Tahoma"/>
            <family val="2"/>
          </rPr>
          <t>Mads Troldborg:</t>
        </r>
        <r>
          <rPr>
            <sz val="9"/>
            <color indexed="81"/>
            <rFont val="Tahoma"/>
            <family val="2"/>
          </rPr>
          <t xml:space="preserve">
After oral administration of 14C-carbamazepine, 72% of the administered radioactivity was found in
the urine and 28% was found in the feces. This urinary radioactivity was composed largely of hydroxylated and
conjugated metabolites, with only 3% of unchanged carbamazepine</t>
        </r>
      </text>
    </comment>
    <comment ref="C37" authorId="0" shapeId="0" xr:uid="{5125D9A6-4597-4837-9320-BFB8DE7C76EC}">
      <text>
        <r>
          <rPr>
            <b/>
            <sz val="9"/>
            <color indexed="81"/>
            <rFont val="Tahoma"/>
            <family val="2"/>
          </rPr>
          <t>Mads Troldborg:</t>
        </r>
        <r>
          <rPr>
            <sz val="9"/>
            <color indexed="81"/>
            <rFont val="Tahoma"/>
            <family val="2"/>
          </rPr>
          <t xml:space="preserve">
Excretion unchanged via urine: 2%
Bioavailability: 75-85%.
Ref: Tolou-Ghamari Z, Zare M, Habibabadi JM, Najafi MR: A quick review of carbamazepine pharmacokinetics in epilepsy from 1953 to 2012. J Res Med Sci. 2013 Mar;18(Suppl 1):S81-5.</t>
        </r>
      </text>
    </comment>
    <comment ref="E38" authorId="0" shapeId="0" xr:uid="{3434F2B6-9484-48C2-80E5-0C3C64635AA6}">
      <text>
        <r>
          <rPr>
            <b/>
            <sz val="9"/>
            <color indexed="81"/>
            <rFont val="Tahoma"/>
            <family val="2"/>
          </rPr>
          <t>Mads Troldborg:</t>
        </r>
        <r>
          <rPr>
            <sz val="9"/>
            <color indexed="81"/>
            <rFont val="Tahoma"/>
            <family val="2"/>
          </rPr>
          <t xml:space="preserve">
 (6 healthy, 9 epileptic)</t>
        </r>
      </text>
    </comment>
    <comment ref="C40" authorId="0" shapeId="0" xr:uid="{5DCE959D-27BC-4492-917B-F7305F5F75FC}">
      <text>
        <r>
          <rPr>
            <b/>
            <sz val="9"/>
            <color indexed="81"/>
            <rFont val="Tahoma"/>
            <family val="2"/>
          </rPr>
          <t>Mads Troldborg:</t>
        </r>
        <r>
          <rPr>
            <sz val="9"/>
            <color indexed="81"/>
            <rFont val="Tahoma"/>
            <family val="2"/>
          </rPr>
          <t xml:space="preserve">
Bioavailability (assumed equal to absorption) is 60-85%, hence excretion via faeces could be assumed to be 15-40%. Values from (Liu and 
Delgado, 1994)
</t>
        </r>
      </text>
    </comment>
    <comment ref="D40" authorId="0" shapeId="0" xr:uid="{A8188069-CF8B-4827-844C-8A8B6A7FFD3E}">
      <text>
        <r>
          <rPr>
            <b/>
            <sz val="9"/>
            <color indexed="81"/>
            <rFont val="Tahoma"/>
            <family val="2"/>
          </rPr>
          <t>Mads Troldborg:</t>
        </r>
        <r>
          <rPr>
            <sz val="9"/>
            <color indexed="81"/>
            <rFont val="Tahoma"/>
            <family val="2"/>
          </rPr>
          <t xml:space="preserve">
I think it is the total excretion as unchanged that is reported. 
However, bioavailability (assumed equal to absorption) is 60-85%, hence excretion via faeces could be assumed to be 15-40%</t>
        </r>
      </text>
    </comment>
    <comment ref="V40" authorId="0" shapeId="0" xr:uid="{EB9437B8-D128-4E2B-A5AD-12A904F3072E}">
      <text>
        <r>
          <rPr>
            <b/>
            <sz val="9"/>
            <color indexed="81"/>
            <rFont val="Tahoma"/>
            <family val="2"/>
          </rPr>
          <t>Mads Troldborg:</t>
        </r>
        <r>
          <rPr>
            <sz val="9"/>
            <color indexed="81"/>
            <rFont val="Tahoma"/>
            <family val="2"/>
          </rPr>
          <t xml:space="preserve">
bioavailability (assumed equal to absorption) is 60-85%</t>
        </r>
      </text>
    </comment>
    <comment ref="D41" authorId="0" shapeId="0" xr:uid="{E89CC777-75A0-4CF4-A637-DFF71E378AF5}">
      <text>
        <r>
          <rPr>
            <b/>
            <sz val="9"/>
            <color indexed="81"/>
            <rFont val="Tahoma"/>
            <charset val="1"/>
          </rPr>
          <t>Mads Troldborg:</t>
        </r>
        <r>
          <rPr>
            <sz val="9"/>
            <color indexed="81"/>
            <rFont val="Tahoma"/>
            <charset val="1"/>
          </rPr>
          <t xml:space="preserve">
Carbamazepine is mostly present in faeces (10–15%) with 1% in urine, and as conjugated glucuronides.</t>
        </r>
      </text>
    </comment>
    <comment ref="D43" authorId="0" shapeId="0" xr:uid="{2F763573-3F64-47DB-AC26-3A3EDA2442A7}">
      <text>
        <r>
          <rPr>
            <b/>
            <sz val="9"/>
            <color indexed="81"/>
            <rFont val="Tahoma"/>
            <charset val="1"/>
          </rPr>
          <t>Mads Troldborg:</t>
        </r>
        <r>
          <rPr>
            <sz val="9"/>
            <color indexed="81"/>
            <rFont val="Tahoma"/>
            <charset val="1"/>
          </rPr>
          <t xml:space="preserve">
31% unchanged, 0% conjugates</t>
        </r>
      </text>
    </comment>
    <comment ref="B44" authorId="0" shapeId="0" xr:uid="{4808F06F-6730-4643-AABF-B37B3098C904}">
      <text>
        <r>
          <rPr>
            <b/>
            <sz val="9"/>
            <color indexed="81"/>
            <rFont val="Tahoma"/>
            <family val="2"/>
          </rPr>
          <t>Mads Troldborg:</t>
        </r>
        <r>
          <rPr>
            <sz val="9"/>
            <color indexed="81"/>
            <rFont val="Tahoma"/>
            <family val="2"/>
          </rPr>
          <t xml:space="preserve">
Values for unchanged in urine only (range 1-3%). 
The excretion in faeces (including metabolites is: 24% (20-28%)
Conjugate only in urine: 3 (1-5%)
Metabolites in urine only: 26 (13-38%)</t>
        </r>
      </text>
    </comment>
    <comment ref="D44" authorId="0" shapeId="0" xr:uid="{3741D77B-40BF-416C-9D0B-F7CE0D1C260E}">
      <text>
        <r>
          <rPr>
            <b/>
            <sz val="9"/>
            <color indexed="81"/>
            <rFont val="Tahoma"/>
            <family val="2"/>
          </rPr>
          <t>Mads Troldborg:</t>
        </r>
        <r>
          <rPr>
            <sz val="9"/>
            <color indexed="81"/>
            <rFont val="Tahoma"/>
            <family val="2"/>
          </rPr>
          <t xml:space="preserve">
Values for unchanged in urine only (range 1-3%). 
The excretion in faeces (including metabolites is: 24% (20-28%)
Conjugate only in urine: 3 (1-5%)
Metabolites in urine only: 26 (13-38%)</t>
        </r>
      </text>
    </comment>
    <comment ref="Q44" authorId="0" shapeId="0" xr:uid="{332808FB-829D-4DA2-948B-8EE075B34B7D}">
      <text>
        <r>
          <rPr>
            <b/>
            <sz val="9"/>
            <color indexed="81"/>
            <rFont val="Tahoma"/>
            <family val="2"/>
          </rPr>
          <t>Mads Troldborg:</t>
        </r>
        <r>
          <rPr>
            <sz val="9"/>
            <color indexed="81"/>
            <rFont val="Tahoma"/>
            <family val="2"/>
          </rPr>
          <t xml:space="preserve">
Range: 10-30%. Values for Carbamazepine-10,11-transdiol  = 10,11-dihydroxycarbamazepine in urine</t>
        </r>
      </text>
    </comment>
    <comment ref="R44" authorId="0" shapeId="0" xr:uid="{A766755C-8954-49D4-A413-94CEC28F9DC3}">
      <text>
        <r>
          <rPr>
            <b/>
            <sz val="9"/>
            <color indexed="81"/>
            <rFont val="Tahoma"/>
            <charset val="1"/>
          </rPr>
          <t>Mads Troldborg:</t>
        </r>
        <r>
          <rPr>
            <sz val="9"/>
            <color indexed="81"/>
            <rFont val="Tahoma"/>
            <charset val="1"/>
          </rPr>
          <t xml:space="preserve">
Range: 1-2%. Value for Carbamazepine-10, 11-epoxide (stable epoxide) in urine 
</t>
        </r>
      </text>
    </comment>
    <comment ref="V44" authorId="0" shapeId="0" xr:uid="{8527BAB7-0760-4A46-89DC-87DA37B78145}">
      <text>
        <r>
          <rPr>
            <b/>
            <sz val="9"/>
            <color indexed="81"/>
            <rFont val="Tahoma"/>
            <charset val="1"/>
          </rPr>
          <t>Mads Troldborg:</t>
        </r>
        <r>
          <rPr>
            <sz val="9"/>
            <color indexed="81"/>
            <rFont val="Tahoma"/>
            <charset val="1"/>
          </rPr>
          <t xml:space="preserve">
Range: 1-5%. 
Value for Carbamazepine N-glucoronide (phase II)  O directly conjugated in urine</t>
        </r>
      </text>
    </comment>
    <comment ref="B45" authorId="0" shapeId="0" xr:uid="{FBB04054-A8D7-4387-8C97-AA2097B19239}">
      <text>
        <r>
          <rPr>
            <b/>
            <sz val="9"/>
            <color indexed="81"/>
            <rFont val="Tahoma"/>
            <family val="2"/>
          </rPr>
          <t>Mads Troldborg:</t>
        </r>
        <r>
          <rPr>
            <sz val="9"/>
            <color indexed="81"/>
            <rFont val="Tahoma"/>
            <family val="2"/>
          </rPr>
          <t xml:space="preserve">
Verlicchi reports 12% excretion rate taken from the Ortiz de Garcia study. However, I think the 12%  refers to 12% of the absorbed amount. In the Ortiz de Garcia paper the absorbed amount is 90%; hence excretion via urine should be 0.12*0.90</t>
        </r>
      </text>
    </comment>
    <comment ref="C45" authorId="0" shapeId="0" xr:uid="{C7F532E8-939E-4E68-8AF8-819655A6E63E}">
      <text>
        <r>
          <rPr>
            <b/>
            <sz val="9"/>
            <color indexed="81"/>
            <rFont val="Tahoma"/>
            <family val="2"/>
          </rPr>
          <t>Mads Troldborg:</t>
        </r>
        <r>
          <rPr>
            <sz val="9"/>
            <color indexed="81"/>
            <rFont val="Tahoma"/>
            <family val="2"/>
          </rPr>
          <t xml:space="preserve">
Verlicchi reports 12% excretion rate taken from the Ortiz de Garcia study. However, I think the 12%  refers to 12% of the absorbed amount. In the Ortiz de Garcia paper the absorbed amount is 90%; hence excretion via urine should be 0.12*0.90</t>
        </r>
      </text>
    </comment>
    <comment ref="D45" authorId="0" shapeId="0" xr:uid="{6ADF978A-0FD6-4650-86C0-34C68D44A113}">
      <text>
        <r>
          <rPr>
            <b/>
            <sz val="9"/>
            <color indexed="81"/>
            <rFont val="Tahoma"/>
            <family val="2"/>
          </rPr>
          <t>Mads Troldborg:</t>
        </r>
        <r>
          <rPr>
            <sz val="9"/>
            <color indexed="81"/>
            <rFont val="Tahoma"/>
            <family val="2"/>
          </rPr>
          <t xml:space="preserve">
Verlicchi reports 12% excretion rate taken from the Ortiz de Garcia study. However, I think the 12%  refers to 12% of the absorbed amount. In the Ortiz de Garcia paper the absorbed amount is 90%; hence excretion via urine should be 0.12*0.90</t>
        </r>
      </text>
    </comment>
    <comment ref="B47" authorId="0" shapeId="0" xr:uid="{838EB8B0-0463-4168-B16B-F20C767BAAAF}">
      <text>
        <r>
          <rPr>
            <b/>
            <sz val="9"/>
            <color indexed="81"/>
            <rFont val="Tahoma"/>
            <charset val="1"/>
          </rPr>
          <t>Mads Troldborg:</t>
        </r>
        <r>
          <rPr>
            <sz val="9"/>
            <color indexed="81"/>
            <rFont val="Tahoma"/>
            <charset val="1"/>
          </rPr>
          <t xml:space="preserve">
Range 1-2%</t>
        </r>
      </text>
    </comment>
    <comment ref="W47" authorId="0" shapeId="0" xr:uid="{514DEC2A-1B0D-44AD-8632-D72B665EF0DF}">
      <text>
        <r>
          <rPr>
            <b/>
            <sz val="9"/>
            <color indexed="81"/>
            <rFont val="Tahoma"/>
            <charset val="1"/>
          </rPr>
          <t>Mads Troldborg:</t>
        </r>
        <r>
          <rPr>
            <sz val="9"/>
            <color indexed="81"/>
            <rFont val="Tahoma"/>
            <charset val="1"/>
          </rPr>
          <t xml:space="preserve">
1-2% unchanged + 30% as conjugates. Based on Ternes &amp; Joss (2006) who cites Frey &amp; Janz.
</t>
        </r>
      </text>
    </comment>
    <comment ref="C118" authorId="0" shapeId="0" xr:uid="{4301E17A-B745-41EF-9510-72D585DA02DF}">
      <text>
        <r>
          <rPr>
            <b/>
            <sz val="9"/>
            <color indexed="81"/>
            <rFont val="Tahoma"/>
            <charset val="1"/>
          </rPr>
          <t>Mads Troldborg:</t>
        </r>
        <r>
          <rPr>
            <sz val="9"/>
            <color indexed="81"/>
            <rFont val="Tahoma"/>
            <charset val="1"/>
          </rPr>
          <t xml:space="preserve">
bioavailability estimated to 57%</t>
        </r>
      </text>
    </comment>
    <comment ref="C119" authorId="0" shapeId="0" xr:uid="{6CC80EFB-CB97-40D8-BA91-AFABE5773E16}">
      <text>
        <r>
          <rPr>
            <b/>
            <sz val="9"/>
            <color indexed="81"/>
            <rFont val="Tahoma"/>
            <charset val="1"/>
          </rPr>
          <t>Mads Troldborg:</t>
        </r>
        <r>
          <rPr>
            <sz val="9"/>
            <color indexed="81"/>
            <rFont val="Tahoma"/>
            <charset val="1"/>
          </rPr>
          <t xml:space="preserve">
bioavailability estimated to 80%</t>
        </r>
      </text>
    </comment>
    <comment ref="C131" authorId="0" shapeId="0" xr:uid="{F455411E-A271-4C80-8851-A99623D410E5}">
      <text>
        <r>
          <rPr>
            <b/>
            <sz val="9"/>
            <color indexed="81"/>
            <rFont val="Tahoma"/>
            <charset val="1"/>
          </rPr>
          <t>Mads Troldborg:</t>
        </r>
        <r>
          <rPr>
            <sz val="9"/>
            <color indexed="81"/>
            <rFont val="Tahoma"/>
            <charset val="1"/>
          </rPr>
          <t xml:space="preserve">
mean relative bioavailability is 30% for C1 and C2
</t>
        </r>
      </text>
    </comment>
    <comment ref="C132" authorId="0" shapeId="0" xr:uid="{ED65BD3A-EFF5-46D2-BBDD-DFFE0050791A}">
      <text>
        <r>
          <rPr>
            <b/>
            <sz val="9"/>
            <color indexed="81"/>
            <rFont val="Tahoma"/>
            <charset val="1"/>
          </rPr>
          <t>Mads Troldborg:</t>
        </r>
        <r>
          <rPr>
            <sz val="9"/>
            <color indexed="81"/>
            <rFont val="Tahoma"/>
            <charset val="1"/>
          </rPr>
          <t xml:space="preserve">
mean relative bioavailability is 6% for D1 and D2
</t>
        </r>
      </text>
    </comment>
    <comment ref="C151" authorId="0" shapeId="0" xr:uid="{3BA429E4-66F2-4253-88AC-D2B99C7C9D5D}">
      <text>
        <r>
          <rPr>
            <b/>
            <sz val="9"/>
            <color indexed="81"/>
            <rFont val="Tahoma"/>
            <charset val="1"/>
          </rPr>
          <t>Mads Troldborg:</t>
        </r>
        <r>
          <rPr>
            <sz val="9"/>
            <color indexed="81"/>
            <rFont val="Tahoma"/>
            <charset val="1"/>
          </rPr>
          <t xml:space="preserve">
absorbed fraction (bioavailability) is estimated as 58%, 72%, 63% and 79% (Table 3)</t>
        </r>
      </text>
    </comment>
    <comment ref="C188" authorId="0" shapeId="0" xr:uid="{41206150-35DF-45AF-AD9B-19613B120E8D}">
      <text>
        <r>
          <rPr>
            <b/>
            <sz val="9"/>
            <color indexed="81"/>
            <rFont val="Tahoma"/>
            <charset val="1"/>
          </rPr>
          <t>Mads Troldborg:</t>
        </r>
        <r>
          <rPr>
            <sz val="9"/>
            <color indexed="81"/>
            <rFont val="Tahoma"/>
            <charset val="1"/>
          </rPr>
          <t xml:space="preserve">
bioavailability estimated to 69%</t>
        </r>
      </text>
    </comment>
    <comment ref="B232" authorId="0" shapeId="0" xr:uid="{F77C7952-CD4F-4882-AF89-4BCCD6093F4E}">
      <text>
        <r>
          <rPr>
            <b/>
            <sz val="9"/>
            <color indexed="81"/>
            <rFont val="Tahoma"/>
            <family val="2"/>
          </rPr>
          <t>Mads Troldborg:</t>
        </r>
        <r>
          <rPr>
            <sz val="9"/>
            <color indexed="81"/>
            <rFont val="Tahoma"/>
            <family val="2"/>
          </rPr>
          <t xml:space="preserve">
45-60% of a parenteral dose (i.e. IV dose) is excreted unchanged in urine. The remaining as metabolites or via faeces</t>
        </r>
      </text>
    </comment>
    <comment ref="D236" authorId="0" shapeId="0" xr:uid="{4F3EC8DB-73ED-488B-8316-B6E080833284}">
      <text>
        <r>
          <rPr>
            <b/>
            <sz val="9"/>
            <color indexed="81"/>
            <rFont val="Tahoma"/>
            <family val="2"/>
          </rPr>
          <t>Mads Troldborg:</t>
        </r>
        <r>
          <rPr>
            <sz val="9"/>
            <color indexed="81"/>
            <rFont val="Tahoma"/>
            <family val="2"/>
          </rPr>
          <t xml:space="preserve">
Bioavailability (assumed equal to absorption) is 50-70%, hence faecal excretion is assumed to be 30-50%.
I think the excretion of 83.7% is total excretion - but it could be the excretion of absorbed amount, in which case the total ER would be between:
50%*83.7%+50%
and
70%*83.7%+30%
which would be around 90%</t>
        </r>
      </text>
    </comment>
    <comment ref="B237" authorId="0" shapeId="0" xr:uid="{4C41D1F1-FBDA-4B53-8C3A-32BC0830E7F2}">
      <text>
        <r>
          <rPr>
            <b/>
            <sz val="9"/>
            <color indexed="81"/>
            <rFont val="Tahoma"/>
            <family val="2"/>
          </rPr>
          <t>Mads Troldborg:</t>
        </r>
        <r>
          <rPr>
            <sz val="9"/>
            <color indexed="81"/>
            <rFont val="Tahoma"/>
            <family val="2"/>
          </rPr>
          <t xml:space="preserve">
Kummerer &amp; Henninger paper does not specify if excretion is urine only or total. It is not clear where the values are from</t>
        </r>
      </text>
    </comment>
    <comment ref="D237" authorId="0" shapeId="0" xr:uid="{E383C51B-5AD4-4738-9AB7-843CB8EC54DE}">
      <text>
        <r>
          <rPr>
            <b/>
            <sz val="9"/>
            <color indexed="81"/>
            <rFont val="Tahoma"/>
            <family val="2"/>
          </rPr>
          <t>Mads Troldborg:</t>
        </r>
        <r>
          <rPr>
            <sz val="9"/>
            <color indexed="81"/>
            <rFont val="Tahoma"/>
            <family val="2"/>
          </rPr>
          <t xml:space="preserve">
Kummerer &amp; Henninger paper does not specify if excretion is urine only or total. It is not clear where the values are from</t>
        </r>
      </text>
    </comment>
    <comment ref="B238" authorId="0" shapeId="0" xr:uid="{3AB34D4B-5A6B-4871-89B8-CDB5E755D2D1}">
      <text>
        <r>
          <rPr>
            <b/>
            <sz val="9"/>
            <color indexed="81"/>
            <rFont val="Tahoma"/>
            <family val="2"/>
          </rPr>
          <t>Mads Troldborg:</t>
        </r>
        <r>
          <rPr>
            <sz val="9"/>
            <color indexed="81"/>
            <rFont val="Tahoma"/>
            <family val="2"/>
          </rPr>
          <t xml:space="preserve">
Values for unchanged in urine (25-62%) and faeces (15-33%)</t>
        </r>
      </text>
    </comment>
    <comment ref="C238" authorId="0" shapeId="0" xr:uid="{33E48795-1736-4629-8451-F77870A9210E}">
      <text>
        <r>
          <rPr>
            <b/>
            <sz val="9"/>
            <color indexed="81"/>
            <rFont val="Tahoma"/>
            <family val="2"/>
          </rPr>
          <t>Mads Troldborg:</t>
        </r>
        <r>
          <rPr>
            <sz val="9"/>
            <color indexed="81"/>
            <rFont val="Tahoma"/>
            <family val="2"/>
          </rPr>
          <t xml:space="preserve">
Values for unchanged in urine (25-62%) and faeces (15-33%)</t>
        </r>
      </text>
    </comment>
    <comment ref="Q238" authorId="0" shapeId="0" xr:uid="{511260A3-664A-498A-90A7-6C740CCE171A}">
      <text>
        <r>
          <rPr>
            <b/>
            <sz val="9"/>
            <color indexed="81"/>
            <rFont val="Tahoma"/>
            <family val="2"/>
          </rPr>
          <t>Mads Troldborg:</t>
        </r>
        <r>
          <rPr>
            <sz val="9"/>
            <color indexed="81"/>
            <rFont val="Tahoma"/>
            <family val="2"/>
          </rPr>
          <t xml:space="preserve">
Values for metabolised in urine:
Oxociprofloxacin (phase I); urine: 5-6%
 Desethylenciprofloxacin (phase I); urine: 1%
 Sulfociprofloxacin (phase II), urine: 3%
 Formylciprofloxacin (phase II); urine: 0%</t>
        </r>
      </text>
    </comment>
    <comment ref="R238" authorId="0" shapeId="0" xr:uid="{3770CB7C-F9C7-45FE-8349-B22EC2844BB1}">
      <text>
        <r>
          <rPr>
            <b/>
            <sz val="9"/>
            <color indexed="81"/>
            <rFont val="Tahoma"/>
            <charset val="1"/>
          </rPr>
          <t>Mads Troldborg:</t>
        </r>
        <r>
          <rPr>
            <sz val="9"/>
            <color indexed="81"/>
            <rFont val="Tahoma"/>
            <charset val="1"/>
          </rPr>
          <t xml:space="preserve">
Directly conjugated urine: 7% (1-12%)</t>
        </r>
      </text>
    </comment>
    <comment ref="B239" authorId="0" shapeId="0" xr:uid="{C1511EB7-4BAD-4C44-9646-31E1171FF577}">
      <text>
        <r>
          <rPr>
            <b/>
            <sz val="9"/>
            <color indexed="81"/>
            <rFont val="Tahoma"/>
            <family val="2"/>
          </rPr>
          <t>Mads Troldborg:</t>
        </r>
        <r>
          <rPr>
            <sz val="9"/>
            <color indexed="81"/>
            <rFont val="Tahoma"/>
            <family val="2"/>
          </rPr>
          <t xml:space="preserve">
Verlicchi reports 70% excretion rate taken from the Ortiz de Garcia study. However, I think this refers to 70% of the absorbed amount. In the Ortiz de Garcia paper the absorbed amount is 70%; hence excretion via urine should be 0.7*0.70</t>
        </r>
      </text>
    </comment>
    <comment ref="B262" authorId="0" shapeId="0" xr:uid="{26E7D11D-37BD-4730-9D68-F8EF18FC1546}">
      <text>
        <r>
          <rPr>
            <b/>
            <sz val="9"/>
            <color indexed="81"/>
            <rFont val="Tahoma"/>
            <family val="2"/>
          </rPr>
          <t>Mads Troldborg:</t>
        </r>
        <r>
          <rPr>
            <sz val="9"/>
            <color indexed="81"/>
            <rFont val="Tahoma"/>
            <family val="2"/>
          </rPr>
          <t xml:space="preserve">
12-15% of an IV dose is excreted unchanged in urine.
55% bioavailability, remaining assumed excreted unchanged via faeces</t>
        </r>
      </text>
    </comment>
    <comment ref="B267" authorId="0" shapeId="0" xr:uid="{2DBA242C-47B4-4204-93B6-8EC0A60C4B6C}">
      <text>
        <r>
          <rPr>
            <b/>
            <sz val="9"/>
            <color indexed="81"/>
            <rFont val="Tahoma"/>
            <family val="2"/>
          </rPr>
          <t>Mads Troldborg:</t>
        </r>
        <r>
          <rPr>
            <sz val="9"/>
            <color indexed="81"/>
            <rFont val="Tahoma"/>
            <family val="2"/>
          </rPr>
          <t xml:space="preserve">
Kummerer &amp; Henninger paper does not specify if excretion is urine only or total. It is not clear where the values are from</t>
        </r>
      </text>
    </comment>
    <comment ref="B268" authorId="0" shapeId="0" xr:uid="{42401D79-838F-49C9-B8FB-4B959CE02C70}">
      <text>
        <r>
          <rPr>
            <b/>
            <sz val="9"/>
            <color indexed="81"/>
            <rFont val="Tahoma"/>
            <family val="2"/>
          </rPr>
          <t>Mads Troldborg:</t>
        </r>
        <r>
          <rPr>
            <sz val="9"/>
            <color indexed="81"/>
            <rFont val="Tahoma"/>
            <family val="2"/>
          </rPr>
          <t xml:space="preserve">
Mendoza paper does not specify if excretion rate is urine only or total</t>
        </r>
      </text>
    </comment>
    <comment ref="B269" authorId="0" shapeId="0" xr:uid="{870991C8-01F7-43DF-83D2-F0480761EE50}">
      <text>
        <r>
          <rPr>
            <b/>
            <sz val="9"/>
            <color indexed="81"/>
            <rFont val="Tahoma"/>
            <family val="2"/>
          </rPr>
          <t>Mads Troldborg:</t>
        </r>
        <r>
          <rPr>
            <sz val="9"/>
            <color indexed="81"/>
            <rFont val="Tahoma"/>
            <family val="2"/>
          </rPr>
          <t xml:space="preserve">
Verlicchi reports 58% excretion rate taken from the Ortiz de Garcia study. However, I think this refers to 58% of the absorbed amount. In the Ortiz de Garcia paper the absorbed amount is 50%; hence excretion via urine should be 0.58*0.50</t>
        </r>
      </text>
    </comment>
    <comment ref="C269" authorId="0" shapeId="0" xr:uid="{0CB48477-DD27-4DCE-92A8-993B9E89CE5B}">
      <text>
        <r>
          <rPr>
            <b/>
            <sz val="9"/>
            <color indexed="81"/>
            <rFont val="Tahoma"/>
            <family val="2"/>
          </rPr>
          <t>Mads Troldborg:</t>
        </r>
        <r>
          <rPr>
            <sz val="9"/>
            <color indexed="81"/>
            <rFont val="Tahoma"/>
            <family val="2"/>
          </rPr>
          <t xml:space="preserve">
Verlicchi reports 58% excretion rate taken from the Ortiz de Garcia study. However, I think this refers to 58% of the absorbed amount. In the Ortiz de Garcia paper the absorbed amount is 50%; hence excretion via urine should be 0.58*0.50</t>
        </r>
      </text>
    </comment>
    <comment ref="B279" authorId="0" shapeId="0" xr:uid="{A3F5D21D-0012-433D-9D83-46CD875474EB}">
      <text>
        <r>
          <rPr>
            <b/>
            <sz val="9"/>
            <color indexed="81"/>
            <rFont val="Tahoma"/>
            <charset val="1"/>
          </rPr>
          <t>Mads Troldborg:</t>
        </r>
        <r>
          <rPr>
            <sz val="9"/>
            <color indexed="81"/>
            <rFont val="Tahoma"/>
            <charset val="1"/>
          </rPr>
          <t xml:space="preserve">
2% unchanged, 15% conjugates</t>
        </r>
      </text>
    </comment>
    <comment ref="V279" authorId="0" shapeId="0" xr:uid="{185E2A07-EBCB-4251-9159-223E6C3F2060}">
      <text>
        <r>
          <rPr>
            <b/>
            <sz val="9"/>
            <color indexed="81"/>
            <rFont val="Tahoma"/>
            <charset val="1"/>
          </rPr>
          <t>Mads Troldborg:</t>
        </r>
        <r>
          <rPr>
            <sz val="9"/>
            <color indexed="81"/>
            <rFont val="Tahoma"/>
            <charset val="1"/>
          </rPr>
          <t xml:space="preserve">
2% unchanged, 15% conjugates</t>
        </r>
      </text>
    </comment>
    <comment ref="B280" authorId="0" shapeId="0" xr:uid="{9B86E8E9-7D01-4F16-B991-90DEB3AE66F3}">
      <text>
        <r>
          <rPr>
            <b/>
            <sz val="9"/>
            <color indexed="81"/>
            <rFont val="Tahoma"/>
            <family val="2"/>
          </rPr>
          <t>Mads Troldborg:</t>
        </r>
        <r>
          <rPr>
            <sz val="9"/>
            <color indexed="81"/>
            <rFont val="Tahoma"/>
            <family val="2"/>
          </rPr>
          <t xml:space="preserve">
Values for unchanged in urine (1%) and faeces (5-25%).
Conjugates hydroxymetabolites in urine: 16%
With metabolites: 51 (36-66)
Without conjugates: 1%</t>
        </r>
      </text>
    </comment>
    <comment ref="C280" authorId="0" shapeId="0" xr:uid="{37448491-5610-48D1-B148-F64858FC4760}">
      <text>
        <r>
          <rPr>
            <b/>
            <sz val="9"/>
            <color indexed="81"/>
            <rFont val="Tahoma"/>
            <family val="2"/>
          </rPr>
          <t>Mads Troldborg:</t>
        </r>
        <r>
          <rPr>
            <sz val="9"/>
            <color indexed="81"/>
            <rFont val="Tahoma"/>
            <family val="2"/>
          </rPr>
          <t xml:space="preserve">
Values for unchanged in urine (1%) and faeces (5-25%):
and conjugates but without metabolites.
With metabolites: 51 (36-66)
Without conjugates: 1%</t>
        </r>
      </text>
    </comment>
    <comment ref="Q280" authorId="0" shapeId="0" xr:uid="{367FB9BA-5FC7-4A67-B9BF-BF27B2169D8B}">
      <text>
        <r>
          <rPr>
            <b/>
            <sz val="9"/>
            <color indexed="81"/>
            <rFont val="Tahoma"/>
            <family val="2"/>
          </rPr>
          <t>Mads Troldborg:</t>
        </r>
        <r>
          <rPr>
            <sz val="9"/>
            <color indexed="81"/>
            <rFont val="Tahoma"/>
            <family val="2"/>
          </rPr>
          <t xml:space="preserve">
Values for unconjugated metabolites in urine and faeces:
4'-hydroxydiclofenac (phase I): 25% (20-30%) + 15% (10-20%)
3-hydroxydiclofenac (phase I) - urine: 3% (1-5%)
 5'-hydroxydiclofenac (phase I)-  urine:  3% (1-5%)
 4',5-dihydroxydiclofenac (phase I)- urine:  3% (1-5%)</t>
        </r>
      </text>
    </comment>
    <comment ref="V280" authorId="0" shapeId="0" xr:uid="{E58C3216-58A6-4F85-8573-CDC1E8F634AA}">
      <text>
        <r>
          <rPr>
            <b/>
            <sz val="9"/>
            <color indexed="81"/>
            <rFont val="Tahoma"/>
            <family val="2"/>
          </rPr>
          <t>Mads Troldborg:</t>
        </r>
        <r>
          <rPr>
            <sz val="9"/>
            <color indexed="81"/>
            <rFont val="Tahoma"/>
            <family val="2"/>
          </rPr>
          <t xml:space="preserve">
conjugated metabolites in uurine:
16% (12-20%)</t>
        </r>
      </text>
    </comment>
    <comment ref="D281" authorId="0" shapeId="0" xr:uid="{471FDF85-0736-4D03-948B-4908F06E9661}">
      <text>
        <r>
          <rPr>
            <b/>
            <sz val="9"/>
            <color indexed="81"/>
            <rFont val="Tahoma"/>
            <family val="2"/>
          </rPr>
          <t>Mads Troldborg:</t>
        </r>
        <r>
          <rPr>
            <sz val="9"/>
            <color indexed="81"/>
            <rFont val="Tahoma"/>
            <family val="2"/>
          </rPr>
          <t xml:space="preserve">
Mendoza paper does not specify if excretion rate is urine only or total</t>
        </r>
      </text>
    </comment>
    <comment ref="B283" authorId="0" shapeId="0" xr:uid="{E2E7188A-A673-44A7-9FF0-66938B9863A5}">
      <text>
        <r>
          <rPr>
            <b/>
            <sz val="9"/>
            <color indexed="81"/>
            <rFont val="Tahoma"/>
            <family val="2"/>
          </rPr>
          <t>Mads Troldborg:</t>
        </r>
        <r>
          <rPr>
            <sz val="9"/>
            <color indexed="81"/>
            <rFont val="Tahoma"/>
            <family val="2"/>
          </rPr>
          <t xml:space="preserve">
Verlicchi reports 15% excretion rate taken from the Ortiz de Garcia study. However, I think this refers to 15% of the absorbed amount. In the Ortiz de Garcia paper the absorbed amount is 55%; hence excretion via urine should be 0.15*0.55</t>
        </r>
      </text>
    </comment>
    <comment ref="C283" authorId="0" shapeId="0" xr:uid="{EEDB1CDF-FA12-4146-A727-58998199E045}">
      <text>
        <r>
          <rPr>
            <b/>
            <sz val="9"/>
            <color indexed="81"/>
            <rFont val="Tahoma"/>
            <family val="2"/>
          </rPr>
          <t>Mads Troldborg:</t>
        </r>
        <r>
          <rPr>
            <sz val="9"/>
            <color indexed="81"/>
            <rFont val="Tahoma"/>
            <family val="2"/>
          </rPr>
          <t xml:space="preserve">
Verlicchi reports 15% excretion rate taken from the Ortiz de Garcia study. However, I think this refers to 15% of the absorbed amount. In the Ortiz de Garcia paper the absorbed amount is 55%; hence excretion via urine should be 0.15*0.55</t>
        </r>
      </text>
    </comment>
    <comment ref="B285" authorId="0" shapeId="0" xr:uid="{8CD1C148-DEA0-4BD2-A6D2-5658C690013E}">
      <text>
        <r>
          <rPr>
            <b/>
            <sz val="9"/>
            <color indexed="81"/>
            <rFont val="Tahoma"/>
            <charset val="1"/>
          </rPr>
          <t>Mads Troldborg:</t>
        </r>
        <r>
          <rPr>
            <sz val="9"/>
            <color indexed="81"/>
            <rFont val="Tahoma"/>
            <charset val="1"/>
          </rPr>
          <t xml:space="preserve">
60% of total dose is excreted via urine. Table 3 in the paper shows the percentage of metabolites in the urine excretion . 70% of the total urine excretion is associated with 4 identified metabolites (incl 15% as glururonide DFC). It is assumed the remaining 30% is unchanged DFC</t>
        </r>
      </text>
    </comment>
    <comment ref="N285" authorId="0" shapeId="0" xr:uid="{14EA5F2F-079B-4CE5-89B8-E2F405D18016}">
      <text>
        <r>
          <rPr>
            <b/>
            <sz val="9"/>
            <color indexed="81"/>
            <rFont val="Tahoma"/>
            <charset val="1"/>
          </rPr>
          <t>Mads Troldborg:</t>
        </r>
        <r>
          <rPr>
            <sz val="9"/>
            <color indexed="81"/>
            <rFont val="Tahoma"/>
            <charset val="1"/>
          </rPr>
          <t xml:space="preserve">
Total % of dose recovered</t>
        </r>
      </text>
    </comment>
    <comment ref="D293" authorId="0" shapeId="0" xr:uid="{7404F24D-F969-4641-A34B-83D204EDAD45}">
      <text>
        <r>
          <rPr>
            <b/>
            <sz val="9"/>
            <color indexed="81"/>
            <rFont val="Tahoma"/>
            <family val="2"/>
          </rPr>
          <t>Mads Troldborg:</t>
        </r>
        <r>
          <rPr>
            <sz val="9"/>
            <color indexed="81"/>
            <rFont val="Tahoma"/>
            <family val="2"/>
          </rPr>
          <t xml:space="preserve">
parent compound and its phase II conjugates
</t>
        </r>
      </text>
    </comment>
    <comment ref="Q295" authorId="0" shapeId="0" xr:uid="{7BE1AA77-8572-4A44-AAE1-F06E1960A20C}">
      <text>
        <r>
          <rPr>
            <b/>
            <sz val="9"/>
            <color indexed="81"/>
            <rFont val="Tahoma"/>
            <family val="2"/>
          </rPr>
          <t>Mads Troldborg:</t>
        </r>
        <r>
          <rPr>
            <sz val="9"/>
            <color indexed="81"/>
            <rFont val="Tahoma"/>
            <family val="2"/>
          </rPr>
          <t xml:space="preserve">
Assuming unabsorbed (non-bioavailable) fraction is excreted
</t>
        </r>
      </text>
    </comment>
    <comment ref="B296" authorId="0" shapeId="0" xr:uid="{22085D90-506E-404F-A97B-9E64AEB23642}">
      <text>
        <r>
          <rPr>
            <b/>
            <sz val="9"/>
            <color indexed="81"/>
            <rFont val="Tahoma"/>
            <family val="2"/>
          </rPr>
          <t>Mads Troldborg:</t>
        </r>
        <r>
          <rPr>
            <sz val="9"/>
            <color indexed="81"/>
            <rFont val="Tahoma"/>
            <family val="2"/>
          </rPr>
          <t xml:space="preserve">
cited in Carballa so maybe not include here again</t>
        </r>
      </text>
    </comment>
    <comment ref="B297" authorId="0" shapeId="0" xr:uid="{E9B85E71-C264-4069-8745-2811F7417631}">
      <text>
        <r>
          <rPr>
            <b/>
            <sz val="9"/>
            <color indexed="81"/>
            <rFont val="Tahoma"/>
            <charset val="1"/>
          </rPr>
          <t>Mads Troldborg:</t>
        </r>
        <r>
          <rPr>
            <sz val="9"/>
            <color indexed="81"/>
            <rFont val="Tahoma"/>
            <charset val="1"/>
          </rPr>
          <t xml:space="preserve">
4% unchanged, 0% conjugates</t>
        </r>
      </text>
    </comment>
    <comment ref="R297" authorId="0" shapeId="0" xr:uid="{294F6382-23A1-46BC-860C-5842316002C9}">
      <text>
        <r>
          <rPr>
            <b/>
            <sz val="9"/>
            <color indexed="81"/>
            <rFont val="Tahoma"/>
            <charset val="1"/>
          </rPr>
          <t>Mads Troldborg:</t>
        </r>
        <r>
          <rPr>
            <sz val="9"/>
            <color indexed="81"/>
            <rFont val="Tahoma"/>
            <charset val="1"/>
          </rPr>
          <t xml:space="preserve">
4% unchanged, 0% conjugates</t>
        </r>
      </text>
    </comment>
    <comment ref="B298" authorId="0" shapeId="0" xr:uid="{9F3A7D97-E8A9-4A0A-AF19-AABFD5258B40}">
      <text>
        <r>
          <rPr>
            <b/>
            <sz val="9"/>
            <color indexed="81"/>
            <rFont val="Tahoma"/>
            <family val="2"/>
          </rPr>
          <t>Mads Troldborg:</t>
        </r>
        <r>
          <rPr>
            <sz val="9"/>
            <color indexed="81"/>
            <rFont val="Tahoma"/>
            <family val="2"/>
          </rPr>
          <t xml:space="preserve">
Kummerer &amp; Henninger paper does not specify if excretion is urine only or total. It is not clear where the values are from</t>
        </r>
      </text>
    </comment>
    <comment ref="B299" authorId="0" shapeId="0" xr:uid="{5F21DBB6-4A89-4178-8E07-77A894864C25}">
      <text>
        <r>
          <rPr>
            <b/>
            <sz val="9"/>
            <color indexed="81"/>
            <rFont val="Tahoma"/>
            <family val="2"/>
          </rPr>
          <t>Mads Troldborg:</t>
        </r>
        <r>
          <rPr>
            <sz val="9"/>
            <color indexed="81"/>
            <rFont val="Tahoma"/>
            <family val="2"/>
          </rPr>
          <t xml:space="preserve">
Values for unchanged in urine (5-10%) and faeces (90%)</t>
        </r>
      </text>
    </comment>
    <comment ref="Q299" authorId="0" shapeId="0" xr:uid="{D5B5FE34-79D0-4FE3-8A46-75443FDF377C}">
      <text>
        <r>
          <rPr>
            <b/>
            <sz val="9"/>
            <color indexed="81"/>
            <rFont val="Tahoma"/>
            <family val="2"/>
          </rPr>
          <t>Mads Troldborg:</t>
        </r>
        <r>
          <rPr>
            <sz val="9"/>
            <color indexed="81"/>
            <rFont val="Tahoma"/>
            <family val="2"/>
          </rPr>
          <t xml:space="preserve">
Values for metabolised in urine:
N-demethylerythromycin, urine: 3%
</t>
        </r>
      </text>
    </comment>
    <comment ref="R299" authorId="0" shapeId="0" xr:uid="{668BB7B2-AA6A-4BE3-BDF2-E71544084276}">
      <text>
        <r>
          <rPr>
            <b/>
            <sz val="9"/>
            <color indexed="81"/>
            <rFont val="Tahoma"/>
            <charset val="1"/>
          </rPr>
          <t>Mads Troldborg:</t>
        </r>
        <r>
          <rPr>
            <sz val="9"/>
            <color indexed="81"/>
            <rFont val="Tahoma"/>
            <charset val="1"/>
          </rPr>
          <t xml:space="preserve">
Directly conjugated urine: 7% (1-12%)</t>
        </r>
      </text>
    </comment>
    <comment ref="B300" authorId="0" shapeId="0" xr:uid="{56486F63-693A-4BDF-BDAA-E30C051134ED}">
      <text>
        <r>
          <rPr>
            <b/>
            <sz val="9"/>
            <color indexed="81"/>
            <rFont val="Tahoma"/>
            <family val="2"/>
          </rPr>
          <t>Mads Troldborg:</t>
        </r>
        <r>
          <rPr>
            <sz val="9"/>
            <color indexed="81"/>
            <rFont val="Tahoma"/>
            <family val="2"/>
          </rPr>
          <t xml:space="preserve">
25% excretion rate is reported. However, I think this refers to the excretion of the absorbed amount, which is 45%; hence excretion via urine should be 0.25*0.45</t>
        </r>
      </text>
    </comment>
    <comment ref="C300" authorId="0" shapeId="0" xr:uid="{7C68129B-1ACC-4755-99B9-90BDB09002AC}">
      <text>
        <r>
          <rPr>
            <b/>
            <sz val="9"/>
            <color indexed="81"/>
            <rFont val="Tahoma"/>
            <family val="2"/>
          </rPr>
          <t>Mads Troldborg:</t>
        </r>
        <r>
          <rPr>
            <sz val="9"/>
            <color indexed="81"/>
            <rFont val="Tahoma"/>
            <family val="2"/>
          </rPr>
          <t xml:space="preserve">
25% excretion rate is reported. However, I think this refers to the excretion of the absorbed amount, which is 45%; hence excretion via urine should be 0.25*0.45</t>
        </r>
      </text>
    </comment>
    <comment ref="B306" authorId="0" shapeId="0" xr:uid="{B45A8A9F-51B5-46CC-86D7-06987EE079E5}">
      <text>
        <r>
          <rPr>
            <b/>
            <sz val="9"/>
            <color indexed="81"/>
            <rFont val="Tahoma"/>
            <charset val="1"/>
          </rPr>
          <t>Mads Troldborg:</t>
        </r>
        <r>
          <rPr>
            <sz val="9"/>
            <color indexed="81"/>
            <rFont val="Tahoma"/>
            <charset val="1"/>
          </rPr>
          <t xml:space="preserve">
Not sure if 95% refers to absorbed/bioavailable fraction
</t>
        </r>
      </text>
    </comment>
    <comment ref="B308" authorId="0" shapeId="0" xr:uid="{947A0BF0-7EAB-4107-9B53-3563A2EA7A39}">
      <text>
        <r>
          <rPr>
            <b/>
            <sz val="9"/>
            <color indexed="81"/>
            <rFont val="Tahoma"/>
            <family val="2"/>
          </rPr>
          <t>Mads Troldborg:</t>
        </r>
        <r>
          <rPr>
            <sz val="9"/>
            <color indexed="81"/>
            <rFont val="Tahoma"/>
            <family val="2"/>
          </rPr>
          <t xml:space="preserve">
Assume 24% is total excretion. 
Bioavailability (assumed equal to absorption) is 60-80%, hence 20-40% excretion via faeces, so total excretion might be higher if reported excretion is for adsorbed only</t>
        </r>
      </text>
    </comment>
    <comment ref="D309" authorId="0" shapeId="0" xr:uid="{330546B8-D302-4DE7-929E-63A2AB9B7B89}">
      <text>
        <r>
          <rPr>
            <b/>
            <sz val="9"/>
            <color indexed="81"/>
            <rFont val="Tahoma"/>
            <charset val="1"/>
          </rPr>
          <t>Mads Troldborg:</t>
        </r>
        <r>
          <rPr>
            <sz val="9"/>
            <color indexed="81"/>
            <rFont val="Tahoma"/>
            <charset val="1"/>
          </rPr>
          <t xml:space="preserve">
100% unchanged, 0% conjugates</t>
        </r>
      </text>
    </comment>
    <comment ref="R309" authorId="0" shapeId="0" xr:uid="{7B58D987-148D-47B5-9E2C-B96EEA89456C}">
      <text>
        <r>
          <rPr>
            <b/>
            <sz val="9"/>
            <color indexed="81"/>
            <rFont val="Tahoma"/>
            <charset val="1"/>
          </rPr>
          <t>Mads Troldborg:</t>
        </r>
        <r>
          <rPr>
            <sz val="9"/>
            <color indexed="81"/>
            <rFont val="Tahoma"/>
            <charset val="1"/>
          </rPr>
          <t xml:space="preserve">
100% unchanged, 0% conjugates</t>
        </r>
      </text>
    </comment>
    <comment ref="B310" authorId="0" shapeId="0" xr:uid="{382DD161-B259-4187-80CD-4002BE6A1105}">
      <text>
        <r>
          <rPr>
            <b/>
            <sz val="9"/>
            <color indexed="81"/>
            <rFont val="Tahoma"/>
            <family val="2"/>
          </rPr>
          <t>Mads Troldborg:</t>
        </r>
        <r>
          <rPr>
            <sz val="9"/>
            <color indexed="81"/>
            <rFont val="Tahoma"/>
            <family val="2"/>
          </rPr>
          <t xml:space="preserve">
Values for unchanged in urine (68-95%) and faeces (11-24%)</t>
        </r>
      </text>
    </comment>
    <comment ref="Q310" authorId="0" shapeId="0" xr:uid="{6F84B325-A306-4532-87B2-8AB596A4A83C}">
      <text>
        <r>
          <rPr>
            <b/>
            <sz val="9"/>
            <color indexed="81"/>
            <rFont val="Tahoma"/>
            <family val="2"/>
          </rPr>
          <t>Mads Troldborg:</t>
        </r>
        <r>
          <rPr>
            <sz val="9"/>
            <color indexed="81"/>
            <rFont val="Tahoma"/>
            <family val="2"/>
          </rPr>
          <t xml:space="preserve">
Values for metabolised in urine:
N4-acetylsulfa-methoxazole (phase II); urine: 63% (60-65%)
 5-hydroxamethylsulfamethoxazole (phase I); urine: 1% (0-1%)
</t>
        </r>
      </text>
    </comment>
    <comment ref="D311" authorId="0" shapeId="0" xr:uid="{8EAFF552-A591-4ECC-94C4-2D54C6B327A4}">
      <text>
        <r>
          <rPr>
            <b/>
            <sz val="9"/>
            <color indexed="81"/>
            <rFont val="Tahoma"/>
            <family val="2"/>
          </rPr>
          <t>Mads Troldborg:</t>
        </r>
        <r>
          <rPr>
            <sz val="9"/>
            <color indexed="81"/>
            <rFont val="Tahoma"/>
            <family val="2"/>
          </rPr>
          <t xml:space="preserve">
Mendoza paper does not specify if excretion rate is urine only or total</t>
        </r>
      </text>
    </comment>
    <comment ref="C313" authorId="0" shapeId="0" xr:uid="{C319D022-2326-4EBE-BA29-0EE397690386}">
      <text>
        <r>
          <rPr>
            <b/>
            <sz val="9"/>
            <color indexed="81"/>
            <rFont val="Tahoma"/>
            <charset val="1"/>
          </rPr>
          <t>Mads Troldborg:</t>
        </r>
        <r>
          <rPr>
            <sz val="9"/>
            <color indexed="81"/>
            <rFont val="Tahoma"/>
            <charset val="1"/>
          </rPr>
          <t xml:space="preserve">
An oral dose of hydrochlorothiazide is 65-75% bioavailable,</t>
        </r>
      </text>
    </comment>
    <comment ref="D313" authorId="0" shapeId="0" xr:uid="{6CE0D859-A054-4CCB-8781-98CFEFAB896A}">
      <text>
        <r>
          <rPr>
            <b/>
            <sz val="9"/>
            <color indexed="81"/>
            <rFont val="Tahoma"/>
            <charset val="1"/>
          </rPr>
          <t>Mads Troldborg:</t>
        </r>
        <r>
          <rPr>
            <sz val="9"/>
            <color indexed="81"/>
            <rFont val="Tahoma"/>
            <charset val="1"/>
          </rPr>
          <t xml:space="preserve">
At least 61% is excreted as unchanged compound</t>
        </r>
      </text>
    </comment>
    <comment ref="B324" authorId="0" shapeId="0" xr:uid="{5192A05D-84DC-4AAF-84EB-C818CADDAAE5}">
      <text>
        <r>
          <rPr>
            <b/>
            <sz val="9"/>
            <color indexed="81"/>
            <rFont val="Tahoma"/>
            <family val="2"/>
          </rPr>
          <t>Mads Troldborg:</t>
        </r>
        <r>
          <rPr>
            <sz val="9"/>
            <color indexed="81"/>
            <rFont val="Tahoma"/>
            <family val="2"/>
          </rPr>
          <t xml:space="preserve">
cited in Carballa so maybe not include here again</t>
        </r>
      </text>
    </comment>
    <comment ref="B326" authorId="0" shapeId="0" xr:uid="{C9FDCBEE-636A-4DF9-82D3-AD520384C167}">
      <text>
        <r>
          <rPr>
            <b/>
            <sz val="9"/>
            <color indexed="81"/>
            <rFont val="Tahoma"/>
            <family val="2"/>
          </rPr>
          <t>Mads Troldborg:</t>
        </r>
        <r>
          <rPr>
            <sz val="9"/>
            <color indexed="81"/>
            <rFont val="Tahoma"/>
            <family val="2"/>
          </rPr>
          <t xml:space="preserve">
I think 1-8% is the total excretion - but it could be the excretion of absorbed amount. As bioavailability (assumed equal to absorption) is 85-100%, the total ER would be between:
85%*1%+15%
and
100%*8%+0%
which would be around 90%</t>
        </r>
      </text>
    </comment>
    <comment ref="B327" authorId="0" shapeId="0" xr:uid="{B723156A-340D-45B9-B7CB-B954215CBCCA}">
      <text>
        <r>
          <rPr>
            <b/>
            <sz val="9"/>
            <color indexed="81"/>
            <rFont val="Tahoma"/>
            <charset val="1"/>
          </rPr>
          <t>Mads Troldborg:</t>
        </r>
        <r>
          <rPr>
            <sz val="9"/>
            <color indexed="81"/>
            <rFont val="Tahoma"/>
            <charset val="1"/>
          </rPr>
          <t xml:space="preserve">
10% unchanged, 5% conjugates</t>
        </r>
      </text>
    </comment>
    <comment ref="V327" authorId="0" shapeId="0" xr:uid="{A6303F69-E9A5-4652-AF53-3C0F19112B3F}">
      <text>
        <r>
          <rPr>
            <b/>
            <sz val="9"/>
            <color indexed="81"/>
            <rFont val="Tahoma"/>
            <charset val="1"/>
          </rPr>
          <t>Mads Troldborg:</t>
        </r>
        <r>
          <rPr>
            <sz val="9"/>
            <color indexed="81"/>
            <rFont val="Tahoma"/>
            <charset val="1"/>
          </rPr>
          <t xml:space="preserve">
10% unchanged, 5% conjugates</t>
        </r>
      </text>
    </comment>
    <comment ref="B329" authorId="0" shapeId="0" xr:uid="{1DF322A3-4049-47AA-8EA4-A1DA7765C9D0}">
      <text>
        <r>
          <rPr>
            <b/>
            <sz val="9"/>
            <color indexed="81"/>
            <rFont val="Tahoma"/>
            <family val="2"/>
          </rPr>
          <t>Mads Troldborg:</t>
        </r>
        <r>
          <rPr>
            <sz val="9"/>
            <color indexed="81"/>
            <rFont val="Tahoma"/>
            <family val="2"/>
          </rPr>
          <t xml:space="preserve">
Values for unchanged in urine and faeces
7 (1-12%) + 23 (10-35%)
</t>
        </r>
      </text>
    </comment>
    <comment ref="C329" authorId="0" shapeId="0" xr:uid="{A7133F33-D546-4CCA-A72D-38C6D352C223}">
      <text>
        <r>
          <rPr>
            <b/>
            <sz val="9"/>
            <color indexed="81"/>
            <rFont val="Tahoma"/>
            <family val="2"/>
          </rPr>
          <t>Mads Troldborg:</t>
        </r>
        <r>
          <rPr>
            <sz val="9"/>
            <color indexed="81"/>
            <rFont val="Tahoma"/>
            <family val="2"/>
          </rPr>
          <t xml:space="preserve">
Values for unchanged in urine and faeces
7 (1-12%) + 23 (10-35%)
</t>
        </r>
      </text>
    </comment>
    <comment ref="Q329" authorId="0" shapeId="0" xr:uid="{11379DD8-756C-45A5-89AB-4D9DA6A6CBF6}">
      <text>
        <r>
          <rPr>
            <b/>
            <sz val="9"/>
            <color indexed="81"/>
            <rFont val="Tahoma"/>
            <family val="2"/>
          </rPr>
          <t>Mads Troldborg:</t>
        </r>
        <r>
          <rPr>
            <sz val="9"/>
            <color indexed="81"/>
            <rFont val="Tahoma"/>
            <family val="2"/>
          </rPr>
          <t xml:space="preserve">
2-Hydroxyibuprofen - urine: 17% (8-25%)
Conjugate of methyl-metabolite (phase II) - urine: 16% (15-17%)
2-[4-(2-hydroxy-2-carboxypropyl)-phenyl]-propionic acid (phase I) - urine: 31% (16-45%)
Conjugate of propyl-metabolite (phase II) - urine: 19%
1-hydroxy-ibuprofen- urine: 3% (1-5%) 
3-hydroxy-ibuprofen - urine: 3% (1-5%)
</t>
        </r>
      </text>
    </comment>
    <comment ref="R329" authorId="0" shapeId="0" xr:uid="{2EBD20E3-5714-4C02-9A01-84D7DDC08DCE}">
      <text>
        <r>
          <rPr>
            <b/>
            <sz val="9"/>
            <color indexed="81"/>
            <rFont val="Tahoma"/>
            <charset val="1"/>
          </rPr>
          <t>Mads Troldborg:</t>
        </r>
        <r>
          <rPr>
            <sz val="9"/>
            <color indexed="81"/>
            <rFont val="Tahoma"/>
            <charset val="1"/>
          </rPr>
          <t xml:space="preserve">
Directly onjugated metabolites - urine: 9%
2-Hydroxyibuprofen - urine: 17 (8-25%)
Conjugate of methyl-metabolite (phase II) - urine: 16% (15-17%)
2-[4-(2-hydroxy-2-carboxypropyl)-phenyl]-propionic acid (phase I) - urine: 31% (16-45%)
Conjugate of propyl-metabolite (phase II) - urine: 19%
1-hydroxy-ibuprofen- urine: 3% (1-5%) 
3-hydroxy-ibuprofen - urine: 3% (1-5%)
</t>
        </r>
      </text>
    </comment>
    <comment ref="B331" authorId="0" shapeId="0" xr:uid="{C1C7DC00-4DA6-4D1D-9540-1928CDB8F622}">
      <text>
        <r>
          <rPr>
            <b/>
            <sz val="9"/>
            <color indexed="81"/>
            <rFont val="Tahoma"/>
            <family val="2"/>
          </rPr>
          <t>Mads Troldborg:</t>
        </r>
        <r>
          <rPr>
            <sz val="9"/>
            <color indexed="81"/>
            <rFont val="Tahoma"/>
            <family val="2"/>
          </rPr>
          <t xml:space="preserve">
Mendoza paper does not specify if excretion rate is urine only or total</t>
        </r>
      </text>
    </comment>
    <comment ref="B333" authorId="0" shapeId="0" xr:uid="{4AD59CAC-F5FD-441B-8F2F-8F63595A26BB}">
      <text>
        <r>
          <rPr>
            <b/>
            <sz val="9"/>
            <color indexed="81"/>
            <rFont val="Tahoma"/>
            <family val="2"/>
          </rPr>
          <t>Mads Troldborg:</t>
        </r>
        <r>
          <rPr>
            <sz val="9"/>
            <color indexed="81"/>
            <rFont val="Tahoma"/>
            <family val="2"/>
          </rPr>
          <t xml:space="preserve">
10% excretion rate is reported. However, I think this refers to the excretion of the absorbed amount, which is 85%; hence excretion via urine should be 0.1*0.85</t>
        </r>
      </text>
    </comment>
    <comment ref="B339" authorId="0" shapeId="0" xr:uid="{132F9D78-2B36-4801-B375-47645BF11C22}">
      <text>
        <r>
          <rPr>
            <b/>
            <sz val="9"/>
            <color indexed="81"/>
            <rFont val="Tahoma"/>
            <family val="2"/>
          </rPr>
          <t>Mads Troldborg:</t>
        </r>
        <r>
          <rPr>
            <sz val="9"/>
            <color indexed="81"/>
            <rFont val="Tahoma"/>
            <family val="2"/>
          </rPr>
          <t xml:space="preserve">
unchanged and glucuronide reported in Ternes (1998)</t>
        </r>
      </text>
    </comment>
    <comment ref="D341" authorId="0" shapeId="0" xr:uid="{6DCE3EE4-275C-4D2C-B8A5-62536691D4BB}">
      <text>
        <r>
          <rPr>
            <b/>
            <sz val="9"/>
            <color indexed="81"/>
            <rFont val="Tahoma"/>
            <family val="2"/>
          </rPr>
          <t>Mads Troldborg:</t>
        </r>
        <r>
          <rPr>
            <sz val="9"/>
            <color indexed="81"/>
            <rFont val="Tahoma"/>
            <family val="2"/>
          </rPr>
          <t xml:space="preserve">
parent compound and its phase II conjugates
</t>
        </r>
      </text>
    </comment>
    <comment ref="B345" authorId="0" shapeId="0" xr:uid="{07CC0780-847F-4F1E-AC4E-1957098C4EE5}">
      <text>
        <r>
          <rPr>
            <b/>
            <sz val="9"/>
            <color indexed="81"/>
            <rFont val="Tahoma"/>
            <family val="2"/>
          </rPr>
          <t>Mads Troldborg:</t>
        </r>
        <r>
          <rPr>
            <sz val="9"/>
            <color indexed="81"/>
            <rFont val="Tahoma"/>
            <family val="2"/>
          </rPr>
          <t xml:space="preserve">
0.8% unchanged, 45% as glucuronide</t>
        </r>
      </text>
    </comment>
    <comment ref="B349" authorId="0" shapeId="0" xr:uid="{21F96D2E-A899-4CFF-A49C-82B77A103D63}">
      <text>
        <r>
          <rPr>
            <b/>
            <sz val="9"/>
            <color indexed="81"/>
            <rFont val="Tahoma"/>
            <charset val="1"/>
          </rPr>
          <t>Mads Troldborg:</t>
        </r>
        <r>
          <rPr>
            <sz val="9"/>
            <color indexed="81"/>
            <rFont val="Tahoma"/>
            <charset val="1"/>
          </rPr>
          <t xml:space="preserve">
10% unchanged, 60% conjugates</t>
        </r>
      </text>
    </comment>
    <comment ref="V349" authorId="0" shapeId="0" xr:uid="{5006D97F-5209-479D-B01C-673E0812DF34}">
      <text>
        <r>
          <rPr>
            <b/>
            <sz val="9"/>
            <color indexed="81"/>
            <rFont val="Tahoma"/>
            <charset val="1"/>
          </rPr>
          <t>Mads Troldborg:</t>
        </r>
        <r>
          <rPr>
            <sz val="9"/>
            <color indexed="81"/>
            <rFont val="Tahoma"/>
            <charset val="1"/>
          </rPr>
          <t xml:space="preserve">
10% unchanged, 60% conjugates</t>
        </r>
      </text>
    </comment>
    <comment ref="B350" authorId="0" shapeId="0" xr:uid="{53D1C704-BEC1-4D0D-AEE4-61E990884975}">
      <text>
        <r>
          <rPr>
            <b/>
            <sz val="9"/>
            <color indexed="81"/>
            <rFont val="Tahoma"/>
            <family val="2"/>
          </rPr>
          <t>Mads Troldborg:</t>
        </r>
        <r>
          <rPr>
            <sz val="9"/>
            <color indexed="81"/>
            <rFont val="Tahoma"/>
            <family val="2"/>
          </rPr>
          <t xml:space="preserve">
Mendoza paper does not specify if excretion rate is urine only or total</t>
        </r>
      </text>
    </comment>
    <comment ref="B352" authorId="0" shapeId="0" xr:uid="{0AC5622C-7995-489B-9F23-463F9051F977}">
      <text>
        <r>
          <rPr>
            <b/>
            <sz val="9"/>
            <color indexed="81"/>
            <rFont val="Tahoma"/>
            <family val="2"/>
          </rPr>
          <t>Mads Troldborg:</t>
        </r>
        <r>
          <rPr>
            <sz val="9"/>
            <color indexed="81"/>
            <rFont val="Tahoma"/>
            <family val="2"/>
          </rPr>
          <t xml:space="preserve">
3% excretion rate is reported. However, I think this refers to the excretion of the absorbed amount, which is 95%; hence excretion via urine should be 0.03*0.95</t>
        </r>
      </text>
    </comment>
    <comment ref="B359" authorId="0" shapeId="0" xr:uid="{29C60C6F-9B6B-44DA-98C3-EDA3306F325C}">
      <text>
        <r>
          <rPr>
            <b/>
            <sz val="9"/>
            <color indexed="81"/>
            <rFont val="Tahoma"/>
            <charset val="1"/>
          </rPr>
          <t>Mads Troldborg:</t>
        </r>
        <r>
          <rPr>
            <sz val="9"/>
            <color indexed="81"/>
            <rFont val="Tahoma"/>
            <charset val="1"/>
          </rPr>
          <t xml:space="preserve">
includes glucuronides. Unchanged is 1.1%</t>
        </r>
      </text>
    </comment>
    <comment ref="B360" authorId="0" shapeId="0" xr:uid="{88C4AB18-B510-450C-8BE4-81EE1AB8C6D9}">
      <text>
        <r>
          <rPr>
            <b/>
            <sz val="9"/>
            <color indexed="81"/>
            <rFont val="Tahoma"/>
            <charset val="1"/>
          </rPr>
          <t>Mads Troldborg:</t>
        </r>
        <r>
          <rPr>
            <sz val="9"/>
            <color indexed="81"/>
            <rFont val="Tahoma"/>
            <charset val="1"/>
          </rPr>
          <t xml:space="preserve">
includes glucuronides. Unchanged is 1.3%</t>
        </r>
      </text>
    </comment>
    <comment ref="B361" authorId="0" shapeId="0" xr:uid="{F1FAECCA-0FAF-4126-83A5-4946B71CCA47}">
      <text>
        <r>
          <rPr>
            <b/>
            <sz val="9"/>
            <color indexed="81"/>
            <rFont val="Tahoma"/>
            <charset val="1"/>
          </rPr>
          <t>Mads Troldborg:</t>
        </r>
        <r>
          <rPr>
            <sz val="9"/>
            <color indexed="81"/>
            <rFont val="Tahoma"/>
            <charset val="1"/>
          </rPr>
          <t xml:space="preserve">
includes glucuronides. Unchanged is 0.58%</t>
        </r>
      </text>
    </comment>
    <comment ref="D366" authorId="0" shapeId="0" xr:uid="{3D0EE779-5A65-41BD-8C54-64FB59531CA6}">
      <text>
        <r>
          <rPr>
            <b/>
            <sz val="9"/>
            <color indexed="81"/>
            <rFont val="Tahoma"/>
            <charset val="1"/>
          </rPr>
          <t>Mads Troldborg:</t>
        </r>
        <r>
          <rPr>
            <sz val="9"/>
            <color indexed="81"/>
            <rFont val="Tahoma"/>
            <charset val="1"/>
          </rPr>
          <t xml:space="preserve">
Approximately 95% of a radiolabelled dose of naproxen is recovered in urine and 3% or less in faeces. 70% of the drug is excreted as unchanged naproxen and the remainder is metabolised to an inactive 6-demethyl metabolite, probably by hepatic microsomal oxidation. The parent compound and metabolite are excreted free or as glucuronide or sulphate conjugates</t>
        </r>
      </text>
    </comment>
    <comment ref="B368" authorId="0" shapeId="0" xr:uid="{413BBA2F-2215-4B09-8292-13E272777CC3}">
      <text>
        <r>
          <rPr>
            <b/>
            <sz val="9"/>
            <color indexed="81"/>
            <rFont val="Tahoma"/>
            <family val="2"/>
          </rPr>
          <t>Mads Troldborg:</t>
        </r>
        <r>
          <rPr>
            <sz val="9"/>
            <color indexed="81"/>
            <rFont val="Tahoma"/>
            <family val="2"/>
          </rPr>
          <t xml:space="preserve">
71% of total drug recovered in urine was naproxen, and 29% was excreted as the desmethyl metabolite. 60 and 63% of naproxen and desmethyl naproxen, respectively, were excreted as conjugates.</t>
        </r>
      </text>
    </comment>
    <comment ref="B369" authorId="0" shapeId="0" xr:uid="{1CB1D10D-8F04-4CA3-9867-936B679853DC}">
      <text>
        <r>
          <rPr>
            <b/>
            <sz val="9"/>
            <color indexed="81"/>
            <rFont val="Tahoma"/>
            <charset val="1"/>
          </rPr>
          <t>Mads Troldborg:</t>
        </r>
        <r>
          <rPr>
            <sz val="9"/>
            <color indexed="81"/>
            <rFont val="Tahoma"/>
            <charset val="1"/>
          </rPr>
          <t xml:space="preserve">
Approx. 10% of the oral daily dose of naproxen is excreted unchanged in the urine. Both naproxen and its metabolite, 6-demethylated naproxen are excreted in 70–90% in their conjugated forms.</t>
        </r>
      </text>
    </comment>
    <comment ref="B371" authorId="0" shapeId="0" xr:uid="{88916E72-EF0A-4516-B703-A278D0F6D8C0}">
      <text>
        <r>
          <rPr>
            <b/>
            <sz val="9"/>
            <color indexed="81"/>
            <rFont val="Tahoma"/>
            <family val="2"/>
          </rPr>
          <t>Mads Troldborg:</t>
        </r>
        <r>
          <rPr>
            <sz val="9"/>
            <color indexed="81"/>
            <rFont val="Tahoma"/>
            <family val="2"/>
          </rPr>
          <t xml:space="preserve">
Bound et al. refers to a value of 4% taken from (RxList) (Shand et al., 1970)
The following paper (Forrest et al., Clinical pharmacokinetics of paracetamol. Clin Pharmacokinet, 1982, Mar-Apr;7(2):93-107. doi: 10.2165/00003088-198207020-00001) states: 
</t>
        </r>
        <r>
          <rPr>
            <i/>
            <sz val="9"/>
            <color indexed="81"/>
            <rFont val="Tahoma"/>
            <family val="2"/>
          </rPr>
          <t>In healthy subjects 85 to 95% of a therapeutic dose is excreted in the urine within 24 hours with about 4, 55, 30, 4 and 4% appearing as unchanged paracetamol and its glucuronide, sulphate, mercapturic acid and cysteine conjugates, respectively.</t>
        </r>
        <r>
          <rPr>
            <sz val="9"/>
            <color indexed="81"/>
            <rFont val="Tahoma"/>
            <family val="2"/>
          </rPr>
          <t xml:space="preserve">
Not sure what this exactly means, but I think the Besse et al. paper assumes that pharma excreted as e.g. glucuronide conjugates are also considered unchanged form of the pharma.</t>
        </r>
      </text>
    </comment>
    <comment ref="B380" authorId="0" shapeId="0" xr:uid="{24D331B2-EBA9-4DFC-8DE7-3E8BD53E8B65}">
      <text>
        <r>
          <rPr>
            <b/>
            <sz val="9"/>
            <color indexed="81"/>
            <rFont val="Tahoma"/>
            <charset val="1"/>
          </rPr>
          <t>Mads Troldborg:</t>
        </r>
        <r>
          <rPr>
            <sz val="9"/>
            <color indexed="81"/>
            <rFont val="Tahoma"/>
            <charset val="1"/>
          </rPr>
          <t xml:space="preserve">
3% unchanged, 93% conjugates</t>
        </r>
      </text>
    </comment>
    <comment ref="R380" authorId="0" shapeId="0" xr:uid="{742DEF0A-CA55-4AD0-AF9D-7B8CFF8F5B86}">
      <text>
        <r>
          <rPr>
            <b/>
            <sz val="9"/>
            <color indexed="81"/>
            <rFont val="Tahoma"/>
            <charset val="1"/>
          </rPr>
          <t>Mads Troldborg:</t>
        </r>
        <r>
          <rPr>
            <sz val="9"/>
            <color indexed="81"/>
            <rFont val="Tahoma"/>
            <charset val="1"/>
          </rPr>
          <t xml:space="preserve">
3% unchanged, 93% conjugates</t>
        </r>
      </text>
    </comment>
    <comment ref="B385" authorId="0" shapeId="0" xr:uid="{11E9DA27-1623-4B18-95B3-88A3F92C169E}">
      <text>
        <r>
          <rPr>
            <b/>
            <sz val="9"/>
            <color indexed="81"/>
            <rFont val="Tahoma"/>
            <family val="2"/>
          </rPr>
          <t>Mads Troldborg:</t>
        </r>
        <r>
          <rPr>
            <sz val="9"/>
            <color indexed="81"/>
            <rFont val="Tahoma"/>
            <family val="2"/>
          </rPr>
          <t xml:space="preserve">
Values for unchanged in urine (2-5%) and faeces (0%)
Directly conjugated in urine: 48%
</t>
        </r>
      </text>
    </comment>
    <comment ref="C385" authorId="0" shapeId="0" xr:uid="{6699E43A-3DB6-4EB1-B81A-E467F7437FAD}">
      <text>
        <r>
          <rPr>
            <b/>
            <sz val="9"/>
            <color indexed="81"/>
            <rFont val="Tahoma"/>
            <family val="2"/>
          </rPr>
          <t>Mads Troldborg:</t>
        </r>
        <r>
          <rPr>
            <sz val="9"/>
            <color indexed="81"/>
            <rFont val="Tahoma"/>
            <family val="2"/>
          </rPr>
          <t xml:space="preserve">
Values for unchanged in urine (2-5%) and faeces (0%)</t>
        </r>
      </text>
    </comment>
    <comment ref="Q385" authorId="0" shapeId="0" xr:uid="{728ECAC2-95BE-4761-B2F8-3281AC6D51F8}">
      <text>
        <r>
          <rPr>
            <b/>
            <sz val="9"/>
            <color indexed="81"/>
            <rFont val="Tahoma"/>
            <family val="2"/>
          </rPr>
          <t>Mads Troldborg:</t>
        </r>
        <r>
          <rPr>
            <sz val="9"/>
            <color indexed="81"/>
            <rFont val="Tahoma"/>
            <family val="2"/>
          </rPr>
          <t xml:space="preserve">
Values for metabolised in urine:
Toxic metabolites: p-aminophenol, Nacetyl-p-benzoquinone-imine: 2% (0-4%)
Metabolite conjugated: 30% (4-55%)</t>
        </r>
      </text>
    </comment>
    <comment ref="R385" authorId="0" shapeId="0" xr:uid="{C4BCA7EE-B6F7-4C7F-8393-39996FE3578B}">
      <text>
        <r>
          <rPr>
            <b/>
            <sz val="9"/>
            <color indexed="81"/>
            <rFont val="Tahoma"/>
            <charset val="1"/>
          </rPr>
          <t>Mads Troldborg:</t>
        </r>
        <r>
          <rPr>
            <sz val="9"/>
            <color indexed="81"/>
            <rFont val="Tahoma"/>
            <charset val="1"/>
          </rPr>
          <t xml:space="preserve">
Directly conjugated urine: 48% (15-80%)</t>
        </r>
      </text>
    </comment>
    <comment ref="B388" authorId="0" shapeId="0" xr:uid="{C04E120E-BC0E-4855-8477-A0021D2C0950}">
      <text>
        <r>
          <rPr>
            <b/>
            <sz val="9"/>
            <color indexed="81"/>
            <rFont val="Tahoma"/>
            <family val="2"/>
          </rPr>
          <t>Mads Troldborg:</t>
        </r>
        <r>
          <rPr>
            <sz val="9"/>
            <color indexed="81"/>
            <rFont val="Tahoma"/>
            <family val="2"/>
          </rPr>
          <t xml:space="preserve">
6% excretion rate is reported. However, I think this refers to the excretion of the absorbed amount, which is 95%; hence excretion via urine should be 0.06*0.95</t>
        </r>
      </text>
    </comment>
    <comment ref="D403" authorId="0" shapeId="0" xr:uid="{4BBE1C6E-0652-4FED-BA20-4067E19606ED}">
      <text>
        <r>
          <rPr>
            <b/>
            <sz val="9"/>
            <color indexed="81"/>
            <rFont val="Tahoma"/>
            <family val="2"/>
          </rPr>
          <t>Mads Troldborg:</t>
        </r>
        <r>
          <rPr>
            <sz val="9"/>
            <color indexed="81"/>
            <rFont val="Tahoma"/>
            <family val="2"/>
          </rPr>
          <t xml:space="preserve">
30-70% excretion assumed to be totalexcretion as unchanged. 
Bioavailability (assumed equal to absorption) is 50-100%, hence 0-50% could eb assumed excreted via faeces</t>
        </r>
      </text>
    </comment>
    <comment ref="D404" authorId="0" shapeId="0" xr:uid="{FEBDBC70-71F8-476F-88DA-86167DF386B6}">
      <text>
        <r>
          <rPr>
            <b/>
            <sz val="9"/>
            <color indexed="81"/>
            <rFont val="Tahoma"/>
            <charset val="1"/>
          </rPr>
          <t>Mads Troldborg:</t>
        </r>
        <r>
          <rPr>
            <sz val="9"/>
            <color indexed="81"/>
            <rFont val="Tahoma"/>
            <charset val="1"/>
          </rPr>
          <t xml:space="preserve">
30% unchanged</t>
        </r>
      </text>
    </comment>
    <comment ref="R404" authorId="0" shapeId="0" xr:uid="{4FD3EF2D-BBB7-49D8-9EF5-549325A5622C}">
      <text>
        <r>
          <rPr>
            <b/>
            <sz val="9"/>
            <color indexed="81"/>
            <rFont val="Tahoma"/>
            <charset val="1"/>
          </rPr>
          <t>Mads Troldborg:</t>
        </r>
        <r>
          <rPr>
            <sz val="9"/>
            <color indexed="81"/>
            <rFont val="Tahoma"/>
            <charset val="1"/>
          </rPr>
          <t xml:space="preserve">
30% unchanged</t>
        </r>
      </text>
    </comment>
    <comment ref="B405" authorId="0" shapeId="0" xr:uid="{75DFBD58-BB07-4CF3-90D1-9C502BDA3F36}">
      <text>
        <r>
          <rPr>
            <b/>
            <sz val="9"/>
            <color indexed="81"/>
            <rFont val="Tahoma"/>
            <family val="2"/>
          </rPr>
          <t>Mads Troldborg:</t>
        </r>
        <r>
          <rPr>
            <sz val="9"/>
            <color indexed="81"/>
            <rFont val="Tahoma"/>
            <family val="2"/>
          </rPr>
          <t xml:space="preserve">
Values for unchanged in urine (35-40%) and faeces (26%)</t>
        </r>
      </text>
    </comment>
    <comment ref="Q405" authorId="0" shapeId="0" xr:uid="{40035CBC-638C-4F8A-B9BA-E087109CD438}">
      <text>
        <r>
          <rPr>
            <b/>
            <sz val="9"/>
            <color indexed="81"/>
            <rFont val="Tahoma"/>
            <family val="2"/>
          </rPr>
          <t>Mads Troldborg:</t>
        </r>
        <r>
          <rPr>
            <sz val="9"/>
            <color indexed="81"/>
            <rFont val="Tahoma"/>
            <family val="2"/>
          </rPr>
          <t xml:space="preserve">
Values for metabolised in urine:
Ranitidine-N-oxide; urine: 6%
 Ranitidin-S-oxide; urine 2%
 N-desmethyl-ranitidine; urine: 2%
</t>
        </r>
      </text>
    </comment>
    <comment ref="B424" authorId="0" shapeId="0" xr:uid="{86435AE5-C649-4152-8175-585E5C9D0E76}">
      <text>
        <r>
          <rPr>
            <b/>
            <sz val="9"/>
            <color indexed="81"/>
            <rFont val="Tahoma"/>
            <family val="2"/>
          </rPr>
          <t>Mads Troldborg:</t>
        </r>
        <r>
          <rPr>
            <sz val="9"/>
            <color indexed="81"/>
            <rFont val="Tahoma"/>
            <family val="2"/>
          </rPr>
          <t xml:space="preserve">
Kummerer &amp; Henninger paper does not specify if excretion is urine only or total. It is not clear where the values are from</t>
        </r>
      </text>
    </comment>
    <comment ref="B434" authorId="0" shapeId="0" xr:uid="{706E3464-4E3A-4CB3-BBB0-C9408C8CC95A}">
      <text>
        <r>
          <rPr>
            <b/>
            <sz val="9"/>
            <color indexed="81"/>
            <rFont val="Tahoma"/>
            <family val="2"/>
          </rPr>
          <t>Mads Troldborg:</t>
        </r>
        <r>
          <rPr>
            <sz val="9"/>
            <color indexed="81"/>
            <rFont val="Tahoma"/>
            <family val="2"/>
          </rPr>
          <t xml:space="preserve">
Mendoza paper does not specify if excretion rate is urine only or total</t>
        </r>
      </text>
    </comment>
    <comment ref="D463" authorId="0" shapeId="0" xr:uid="{BCAA6624-453D-4314-9F45-0B140B73B455}">
      <text>
        <r>
          <rPr>
            <b/>
            <sz val="9"/>
            <color indexed="81"/>
            <rFont val="Tahoma"/>
            <family val="2"/>
          </rPr>
          <t>Mads Troldborg:</t>
        </r>
        <r>
          <rPr>
            <sz val="9"/>
            <color indexed="81"/>
            <rFont val="Tahoma"/>
            <family val="2"/>
          </rPr>
          <t xml:space="preserve">
includes conjugated SMX</t>
        </r>
      </text>
    </comment>
    <comment ref="B464" authorId="0" shapeId="0" xr:uid="{D874546C-AF50-4374-B666-AD1EC8B49225}">
      <text>
        <r>
          <rPr>
            <b/>
            <sz val="9"/>
            <color indexed="81"/>
            <rFont val="Tahoma"/>
            <charset val="1"/>
          </rPr>
          <t>Mads Troldborg:</t>
        </r>
        <r>
          <rPr>
            <sz val="9"/>
            <color indexed="81"/>
            <rFont val="Tahoma"/>
            <charset val="1"/>
          </rPr>
          <t xml:space="preserve">
Sum of excretion as unchanged (15-30%) and as conjugated (0%) </t>
        </r>
      </text>
    </comment>
    <comment ref="B476" authorId="0" shapeId="0" xr:uid="{19B1943B-971C-41E8-AAC2-DD9836FBB582}">
      <text>
        <r>
          <rPr>
            <b/>
            <sz val="9"/>
            <color indexed="81"/>
            <rFont val="Tahoma"/>
            <family val="2"/>
          </rPr>
          <t>Mads Troldborg:</t>
        </r>
        <r>
          <rPr>
            <sz val="9"/>
            <color indexed="81"/>
            <rFont val="Tahoma"/>
            <family val="2"/>
          </rPr>
          <t xml:space="preserve">
Excretion rate of 15% assuemd to be total unchanged. Bioavailability (assumed equal to absorption) is 80-90% so faecal excretion could be 10-20%</t>
        </r>
      </text>
    </comment>
    <comment ref="C476" authorId="0" shapeId="0" xr:uid="{03574623-7BE3-4349-8F0E-08E9B8BD7F81}">
      <text>
        <r>
          <rPr>
            <b/>
            <sz val="9"/>
            <color indexed="81"/>
            <rFont val="Tahoma"/>
            <family val="2"/>
          </rPr>
          <t>Mads Troldborg:</t>
        </r>
        <r>
          <rPr>
            <sz val="9"/>
            <color indexed="81"/>
            <rFont val="Tahoma"/>
            <family val="2"/>
          </rPr>
          <t xml:space="preserve">
Excretion rate of 15% assuemd to be total unchanged. Bioavailability (assumed equal to absorption) is 80-90% so faecal excretion could be 10-20%</t>
        </r>
      </text>
    </comment>
    <comment ref="D476" authorId="0" shapeId="0" xr:uid="{8142B42A-78B7-4E64-AF2E-F46DC42144A8}">
      <text>
        <r>
          <rPr>
            <b/>
            <sz val="9"/>
            <color indexed="81"/>
            <rFont val="Tahoma"/>
            <family val="2"/>
          </rPr>
          <t>Mads Troldborg:</t>
        </r>
        <r>
          <rPr>
            <sz val="9"/>
            <color indexed="81"/>
            <rFont val="Tahoma"/>
            <family val="2"/>
          </rPr>
          <t xml:space="preserve">
Excretion rate of 15% assuemd to be total unchanged. Bioavailability (assumed equal to absorption) is 80-90% so faecal excretion could be 10-20%</t>
        </r>
      </text>
    </comment>
    <comment ref="B481" authorId="0" shapeId="0" xr:uid="{E2827CDA-75EA-483B-9501-2908F0672AF8}">
      <text>
        <r>
          <rPr>
            <b/>
            <sz val="9"/>
            <color indexed="81"/>
            <rFont val="Tahoma"/>
            <family val="2"/>
          </rPr>
          <t>Mads Troldborg:</t>
        </r>
        <r>
          <rPr>
            <sz val="9"/>
            <color indexed="81"/>
            <rFont val="Tahoma"/>
            <family val="2"/>
          </rPr>
          <t xml:space="preserve">
Kummerer &amp; Henninger paper does not specify if excretion is urine only or total. It is not clear where the values are from</t>
        </r>
      </text>
    </comment>
    <comment ref="B483" authorId="0" shapeId="0" xr:uid="{8ED30F14-D06F-4FA3-A60A-2D1CBD07B311}">
      <text>
        <r>
          <rPr>
            <b/>
            <sz val="9"/>
            <color indexed="81"/>
            <rFont val="Tahoma"/>
            <family val="2"/>
          </rPr>
          <t>Mads Troldborg:</t>
        </r>
        <r>
          <rPr>
            <sz val="9"/>
            <color indexed="81"/>
            <rFont val="Tahoma"/>
            <family val="2"/>
          </rPr>
          <t xml:space="preserve">
Values for unchanged in urine (20%) and faeces (0%)</t>
        </r>
      </text>
    </comment>
    <comment ref="Q483" authorId="0" shapeId="0" xr:uid="{871B8C8A-04A3-4B3E-9D57-9667389A1280}">
      <text>
        <r>
          <rPr>
            <b/>
            <sz val="9"/>
            <color indexed="81"/>
            <rFont val="Tahoma"/>
            <family val="2"/>
          </rPr>
          <t>Mads Troldborg:</t>
        </r>
        <r>
          <rPr>
            <sz val="9"/>
            <color indexed="81"/>
            <rFont val="Tahoma"/>
            <family val="2"/>
          </rPr>
          <t xml:space="preserve">
Values for metabolised in urine:
N4-acetylsulfa-methoxazole (phase II); urine: 63% (60-65%)
 5-hydroxamethylsulfamethoxazole (phase I); urine: 1% (0-1%)
</t>
        </r>
      </text>
    </comment>
    <comment ref="R483" authorId="0" shapeId="0" xr:uid="{280244F3-2B7C-4569-8B7E-C455AFE96DF8}">
      <text>
        <r>
          <rPr>
            <b/>
            <sz val="9"/>
            <color indexed="81"/>
            <rFont val="Tahoma"/>
            <charset val="1"/>
          </rPr>
          <t>Mads Troldborg:</t>
        </r>
        <r>
          <rPr>
            <sz val="9"/>
            <color indexed="81"/>
            <rFont val="Tahoma"/>
            <charset val="1"/>
          </rPr>
          <t xml:space="preserve">
Directly conjugated urine: 15%</t>
        </r>
      </text>
    </comment>
    <comment ref="B491" authorId="0" shapeId="0" xr:uid="{D754222A-2338-43D9-BE30-17E0F968B287}">
      <text>
        <r>
          <rPr>
            <b/>
            <sz val="9"/>
            <color indexed="81"/>
            <rFont val="Tahoma"/>
            <charset val="1"/>
          </rPr>
          <t>Mads Troldborg:</t>
        </r>
        <r>
          <rPr>
            <sz val="9"/>
            <color indexed="81"/>
            <rFont val="Tahoma"/>
            <charset val="1"/>
          </rPr>
          <t xml:space="preserve">
10-30% unchanged
55-75% metabolites</t>
        </r>
      </text>
    </comment>
    <comment ref="B498" authorId="0" shapeId="0" xr:uid="{90C9841A-505E-4E61-A04E-E3767F6FDBDA}">
      <text>
        <r>
          <rPr>
            <b/>
            <sz val="9"/>
            <color indexed="81"/>
            <rFont val="Tahoma"/>
            <family val="2"/>
          </rPr>
          <t>Mads Troldborg:</t>
        </r>
        <r>
          <rPr>
            <sz val="9"/>
            <color indexed="81"/>
            <rFont val="Tahoma"/>
            <family val="2"/>
          </rPr>
          <t xml:space="preserve">
30% excretion rate is reported. However, I think this refers to the excretion of the absorbed amount, which is 80%; hence excretion via urine should be 0.3*0.85</t>
        </r>
      </text>
    </comment>
    <comment ref="C498" authorId="0" shapeId="0" xr:uid="{24FA61B6-F022-4584-8948-0B4E05598B56}">
      <text>
        <r>
          <rPr>
            <b/>
            <sz val="9"/>
            <color indexed="81"/>
            <rFont val="Tahoma"/>
            <family val="2"/>
          </rPr>
          <t>Mads Troldborg:</t>
        </r>
        <r>
          <rPr>
            <sz val="9"/>
            <color indexed="81"/>
            <rFont val="Tahoma"/>
            <family val="2"/>
          </rPr>
          <t xml:space="preserve">
30% excretion rate is reported. However, I think this refers to the excretion of the absorbed amount, which is 80%; hence excretion via urine should be 0.3*0.85</t>
        </r>
      </text>
    </comment>
    <comment ref="B525" authorId="0" shapeId="0" xr:uid="{A82271D7-F316-4513-AE25-90B9C61224CC}">
      <text>
        <r>
          <rPr>
            <b/>
            <sz val="9"/>
            <color indexed="81"/>
            <rFont val="Tahoma"/>
            <charset val="1"/>
          </rPr>
          <t>Mads Troldborg:</t>
        </r>
        <r>
          <rPr>
            <sz val="9"/>
            <color indexed="81"/>
            <rFont val="Tahoma"/>
            <charset val="1"/>
          </rPr>
          <t xml:space="preserve">
30% unchanged, 0% conjugates</t>
        </r>
      </text>
    </comment>
    <comment ref="R525" authorId="0" shapeId="0" xr:uid="{1AEF9640-DE68-4559-91C3-ECA4092B2D16}">
      <text>
        <r>
          <rPr>
            <b/>
            <sz val="9"/>
            <color indexed="81"/>
            <rFont val="Tahoma"/>
            <charset val="1"/>
          </rPr>
          <t>Mads Troldborg:</t>
        </r>
        <r>
          <rPr>
            <sz val="9"/>
            <color indexed="81"/>
            <rFont val="Tahoma"/>
            <charset val="1"/>
          </rPr>
          <t xml:space="preserve">
30% unchanged, 0% conjugates</t>
        </r>
      </text>
    </comment>
    <comment ref="H527" authorId="0" shapeId="0" xr:uid="{E7910757-D916-44DC-98DB-DEDE4D66AFBE}">
      <text>
        <r>
          <rPr>
            <b/>
            <sz val="9"/>
            <color indexed="81"/>
            <rFont val="Tahoma"/>
            <charset val="1"/>
          </rPr>
          <t>Mads Troldborg:</t>
        </r>
        <r>
          <rPr>
            <sz val="9"/>
            <color indexed="81"/>
            <rFont val="Tahoma"/>
            <charset val="1"/>
          </rPr>
          <t xml:space="preserve">
Lintz states: Excretion mainly via urine (about 90%), the remaining via faeces.  
[..] only 1% of tramadol and its metabolites were eliminated via biliary excretion.</t>
        </r>
      </text>
    </comment>
    <comment ref="B533" authorId="0" shapeId="0" xr:uid="{A9F0B6D9-D014-4680-B81A-8C0136160044}">
      <text>
        <r>
          <rPr>
            <b/>
            <sz val="9"/>
            <color indexed="81"/>
            <rFont val="Tahoma"/>
            <family val="2"/>
          </rPr>
          <t>Mads Troldborg:</t>
        </r>
        <r>
          <rPr>
            <sz val="9"/>
            <color indexed="81"/>
            <rFont val="Tahoma"/>
            <family val="2"/>
          </rPr>
          <t xml:space="preserve">
This study looked at excretion from 10 Nigerian men. The study cites a study that find 30% unchanged in caucasians. Implies racial difference</t>
        </r>
      </text>
    </comment>
    <comment ref="B540" authorId="0" shapeId="0" xr:uid="{09D41469-9511-4850-9DEE-01D7DC5FD147}">
      <text>
        <r>
          <rPr>
            <b/>
            <sz val="9"/>
            <color indexed="81"/>
            <rFont val="Tahoma"/>
            <charset val="1"/>
          </rPr>
          <t>Mads Troldborg:</t>
        </r>
        <r>
          <rPr>
            <sz val="9"/>
            <color indexed="81"/>
            <rFont val="Tahoma"/>
            <charset val="1"/>
          </rPr>
          <t xml:space="preserve">
Of the total amount of tramadol administered, 34.5% (SD 6.1%) was retrieved in the urine in the first 24 h, mainly based on the parent compound, i.e. tramadol contributed 79% (SD 18%), while M1 contributed 10% (SD 17%) and M2 contributed 3% (SD 3.4%) to overall urinary tramadol elimination. </t>
        </r>
      </text>
    </comment>
    <comment ref="B541" authorId="0" shapeId="0" xr:uid="{42C7BBC9-4E7B-4514-BBB3-C8345907AA3D}">
      <text>
        <r>
          <rPr>
            <b/>
            <sz val="9"/>
            <color indexed="81"/>
            <rFont val="Tahoma"/>
            <charset val="1"/>
          </rPr>
          <t>Mads Troldborg:</t>
        </r>
        <r>
          <rPr>
            <sz val="9"/>
            <color indexed="81"/>
            <rFont val="Tahoma"/>
            <charset val="1"/>
          </rPr>
          <t xml:space="preserve">
In the text it is stated that the excretion of unchanged (+)-tramadol and (-)-tramadol is 20% and 17%. However ,this doesn't match with recovered masses in table 4 where only 16 mg and 14 mg is recovered after 48 hours (corresponding to a total of 15%)</t>
        </r>
      </text>
    </comment>
    <comment ref="B542" authorId="0" shapeId="0" xr:uid="{656210E9-BF72-4BA3-9226-FEBA5AC8A5F7}">
      <text>
        <r>
          <rPr>
            <b/>
            <sz val="9"/>
            <color indexed="81"/>
            <rFont val="Tahoma"/>
            <charset val="1"/>
          </rPr>
          <t>Mads Troldborg:</t>
        </r>
        <r>
          <rPr>
            <sz val="9"/>
            <color indexed="81"/>
            <rFont val="Tahoma"/>
            <charset val="1"/>
          </rPr>
          <t xml:space="preserve">
In the text it is stated that the excretion of unchanged (+)-tramadol and (-)-tramadol is 18% and 16%. However ,this doesn't match with recovered masses in table 4 where only 18 mg and 15 mg are recovered aftr 48 hours</t>
        </r>
      </text>
    </comment>
    <comment ref="B572" authorId="0" shapeId="0" xr:uid="{CF1CD2AA-6D45-4CCC-B393-D157DE74CB5E}">
      <text>
        <r>
          <rPr>
            <b/>
            <sz val="9"/>
            <color indexed="81"/>
            <rFont val="Tahoma"/>
            <family val="2"/>
          </rPr>
          <t>Mads Troldborg:</t>
        </r>
        <r>
          <rPr>
            <sz val="9"/>
            <color indexed="81"/>
            <rFont val="Tahoma"/>
            <family val="2"/>
          </rPr>
          <t xml:space="preserve">
bioavailability (assumed equal to absorption) is 90-97%</t>
        </r>
      </text>
    </comment>
    <comment ref="B578" authorId="0" shapeId="0" xr:uid="{2DAEB359-5B53-45F2-A0D7-AB80A4683526}">
      <text>
        <r>
          <rPr>
            <b/>
            <sz val="9"/>
            <color indexed="81"/>
            <rFont val="Tahoma"/>
            <charset val="1"/>
          </rPr>
          <t>Mads Troldborg:</t>
        </r>
        <r>
          <rPr>
            <sz val="9"/>
            <color indexed="81"/>
            <rFont val="Tahoma"/>
            <charset val="1"/>
          </rPr>
          <t xml:space="preserve">
43% unchanged, 0% conjugates</t>
        </r>
      </text>
    </comment>
    <comment ref="V578" authorId="0" shapeId="0" xr:uid="{CC044DD6-ABBC-42B5-8E11-E15CA7346199}">
      <text>
        <r>
          <rPr>
            <b/>
            <sz val="9"/>
            <color indexed="81"/>
            <rFont val="Tahoma"/>
            <charset val="1"/>
          </rPr>
          <t>Mads Troldborg:</t>
        </r>
        <r>
          <rPr>
            <sz val="9"/>
            <color indexed="81"/>
            <rFont val="Tahoma"/>
            <charset val="1"/>
          </rPr>
          <t xml:space="preserve">
43% unchanged, 0% conjugates</t>
        </r>
      </text>
    </comment>
    <comment ref="B581" authorId="0" shapeId="0" xr:uid="{3D0AC68A-0759-4345-A884-11E62DF49E06}">
      <text>
        <r>
          <rPr>
            <b/>
            <sz val="9"/>
            <color indexed="81"/>
            <rFont val="Tahoma"/>
            <family val="2"/>
          </rPr>
          <t>Mads Troldborg:</t>
        </r>
        <r>
          <rPr>
            <sz val="9"/>
            <color indexed="81"/>
            <rFont val="Tahoma"/>
            <family val="2"/>
          </rPr>
          <t xml:space="preserve">
Kummerer &amp; Henninger paper does not specify if excretion is urine only or total. It is not clear where the values are from</t>
        </r>
      </text>
    </comment>
    <comment ref="B588" authorId="0" shapeId="0" xr:uid="{553ADC7A-5945-4AAD-B182-B917F436F283}">
      <text>
        <r>
          <rPr>
            <b/>
            <sz val="9"/>
            <color indexed="81"/>
            <rFont val="Tahoma"/>
            <family val="2"/>
          </rPr>
          <t>Mads Troldborg:</t>
        </r>
        <r>
          <rPr>
            <sz val="9"/>
            <color indexed="81"/>
            <rFont val="Tahoma"/>
            <family val="2"/>
          </rPr>
          <t xml:space="preserve">
Mendoza paper does not specify if excretion rate is urine only or total</t>
        </r>
      </text>
    </comment>
    <comment ref="B597" authorId="0" shapeId="0" xr:uid="{6C466470-0B03-40BE-9ECF-422A0F1D5D6A}">
      <text>
        <r>
          <rPr>
            <b/>
            <sz val="9"/>
            <color indexed="81"/>
            <rFont val="Tahoma"/>
            <family val="2"/>
          </rPr>
          <t>Mads Troldborg:</t>
        </r>
        <r>
          <rPr>
            <sz val="9"/>
            <color indexed="81"/>
            <rFont val="Tahoma"/>
            <family val="2"/>
          </rPr>
          <t xml:space="preserve">
80% excretion rate is reported. However, I think this refers to the excretion of the absorbed amount, which is 95%; hence excretion via urine should be 0.8*0.95</t>
        </r>
      </text>
    </comment>
  </commentList>
</comments>
</file>

<file path=xl/sharedStrings.xml><?xml version="1.0" encoding="utf-8"?>
<sst xmlns="http://schemas.openxmlformats.org/spreadsheetml/2006/main" count="6127" uniqueCount="1179">
  <si>
    <t>Subject</t>
  </si>
  <si>
    <t>N</t>
  </si>
  <si>
    <t>Admin</t>
  </si>
  <si>
    <t>Matrix</t>
  </si>
  <si>
    <t>M1</t>
  </si>
  <si>
    <t>M2</t>
  </si>
  <si>
    <t>M3</t>
  </si>
  <si>
    <t>M4</t>
  </si>
  <si>
    <t>Compound</t>
  </si>
  <si>
    <t>Secondary reference</t>
  </si>
  <si>
    <t>Sulfamethoxazole</t>
  </si>
  <si>
    <t>Gill, 1996 [1]</t>
  </si>
  <si>
    <t>Healthy</t>
  </si>
  <si>
    <t>urine</t>
  </si>
  <si>
    <t>Moore, 1996 [2]</t>
  </si>
  <si>
    <t>Patient</t>
  </si>
  <si>
    <t>Srinivas, 1996 [3]</t>
  </si>
  <si>
    <t>Mitra, 1996 [4]</t>
  </si>
  <si>
    <t>Vanderven, 1995 [5]</t>
  </si>
  <si>
    <t>Vree, 1995 [6]</t>
  </si>
  <si>
    <t>Vree, 1994 [7]</t>
  </si>
  <si>
    <t>Vanderven, 1994 [8]</t>
  </si>
  <si>
    <t>Lee, 1994 [9]</t>
  </si>
  <si>
    <t>Ying, 1993 [10]</t>
  </si>
  <si>
    <t>Stevens, 1993 [11]</t>
  </si>
  <si>
    <t>Cribb, 1992 [12]</t>
  </si>
  <si>
    <t>Stevens, 1991 [13]</t>
  </si>
  <si>
    <t>Hutabarat, 1991 [14]</t>
  </si>
  <si>
    <t>Avgerinos, 1991 [15]</t>
  </si>
  <si>
    <t>Floresmurrieta, 1990 [16]</t>
  </si>
  <si>
    <t>Garg, 1986 [17]</t>
  </si>
  <si>
    <t>Varoquaux, 1985 [18]</t>
  </si>
  <si>
    <t>Spreux-varoquaux, 1983 [19]</t>
  </si>
  <si>
    <t>Watson, 1982 [20]</t>
  </si>
  <si>
    <t>Mannisto, 1982 [21]</t>
  </si>
  <si>
    <t>Singlas, 1982 [22]</t>
  </si>
  <si>
    <t>Renal</t>
  </si>
  <si>
    <t>i.p.</t>
  </si>
  <si>
    <t>Naber, 1981 [23]</t>
  </si>
  <si>
    <t>Vree, 1980 (1) [24]</t>
  </si>
  <si>
    <t>Grose, 1979 [25]</t>
  </si>
  <si>
    <t>Bergan, 1979 [26]</t>
  </si>
  <si>
    <t>Ortengren 1979, p3 [27]</t>
  </si>
  <si>
    <t>Ortengren 1979, p2 [28]</t>
  </si>
  <si>
    <t>Vree, 1978 (1) [29]</t>
  </si>
  <si>
    <t>Vree, 1978 (2) [30]</t>
  </si>
  <si>
    <t>Fass, 1977 [31]</t>
  </si>
  <si>
    <t>Kremers, 1974 [32]</t>
  </si>
  <si>
    <t>Kaplan, 1973 [33]</t>
  </si>
  <si>
    <t>Welling, 1973 [34]</t>
  </si>
  <si>
    <t>Mannisto, 1973 [35]</t>
  </si>
  <si>
    <t>Marks, 1973 [36]</t>
  </si>
  <si>
    <t>Craig, 1973 [37]</t>
  </si>
  <si>
    <t>Baethke, 1972 [38]</t>
  </si>
  <si>
    <t xml:space="preserve">   urine        </t>
  </si>
  <si>
    <t>Trimethoprim</t>
  </si>
  <si>
    <t>Wagenlehner, 2014 [40]</t>
  </si>
  <si>
    <t>EMEA, 1997 [41]</t>
  </si>
  <si>
    <t>NS</t>
  </si>
  <si>
    <t>faeces</t>
  </si>
  <si>
    <t>Ghosh, 1988 [42]</t>
  </si>
  <si>
    <t>Stachowska, 1987 [43]</t>
  </si>
  <si>
    <t>Leone, 1987 [44]</t>
  </si>
  <si>
    <t>Hoppu, 1987 [45]</t>
  </si>
  <si>
    <t>Rylance, 1985 [46]</t>
  </si>
  <si>
    <t>Webster, 1984 [47]</t>
  </si>
  <si>
    <t>Chitnis, 1984 [48]</t>
  </si>
  <si>
    <t>Seth, 1983 [49]</t>
  </si>
  <si>
    <t>Spreux-varoquax, 1983 [19]</t>
  </si>
  <si>
    <t>Ahlmen, 1982 [50]</t>
  </si>
  <si>
    <t>Reeves, 1980 [51]</t>
  </si>
  <si>
    <t>Buniva, 1979 [52]</t>
  </si>
  <si>
    <t>Ortengren, 1979, p3 [27]</t>
  </si>
  <si>
    <t>Andreasen, 1978 [53]</t>
  </si>
  <si>
    <t>Emmerson, 1978 [54]</t>
  </si>
  <si>
    <t>Bergan, 1977 [55]</t>
  </si>
  <si>
    <t>Acocella, 1976 [56]</t>
  </si>
  <si>
    <t>Hamilton-miller, 1976 [57]</t>
  </si>
  <si>
    <t>Kremers, p 1974 [32]</t>
  </si>
  <si>
    <t>Sigel, 1973 [58]</t>
  </si>
  <si>
    <t>Nolte, 1973 [59]</t>
  </si>
  <si>
    <t>Kaplan, 1970 [63]</t>
  </si>
  <si>
    <t>Schwartz, 1970 (1) [39]</t>
  </si>
  <si>
    <t>Schwartz, 1970 (2) [64]</t>
  </si>
  <si>
    <t>Sulfadiazine</t>
  </si>
  <si>
    <t>Springolo, 1989 [65]</t>
  </si>
  <si>
    <t>Chiandussi, 1988 [66]</t>
  </si>
  <si>
    <t>SUP</t>
  </si>
  <si>
    <t>Vree, 1987 (review) [67]</t>
  </si>
  <si>
    <t>Vree, 1980 [68]</t>
  </si>
  <si>
    <t>Seppanen, 1980 [69]</t>
  </si>
  <si>
    <t>Mehta, 1980 [70]</t>
  </si>
  <si>
    <t>Reeves, 1979 [71]</t>
  </si>
  <si>
    <t>Reutter, 1979 [72]</t>
  </si>
  <si>
    <t>Ortengren, 1979 p3 [27]</t>
  </si>
  <si>
    <t>Ortengren, 1979 p2 [28]</t>
  </si>
  <si>
    <t>Kamienny, 1969 [73]</t>
  </si>
  <si>
    <t>Maengwyn-Davies 1955 [74]</t>
  </si>
  <si>
    <t>Sadusk, 1941 [75]</t>
  </si>
  <si>
    <t>Reinhold, 1941 [76]</t>
  </si>
  <si>
    <t>Plummer, 1940 [77]</t>
  </si>
  <si>
    <t xml:space="preserve">   Patient         </t>
  </si>
  <si>
    <t>Clarithromycin</t>
  </si>
  <si>
    <t>Scheuch, 2019 [147]</t>
  </si>
  <si>
    <t>Tan, 2014 [148]</t>
  </si>
  <si>
    <t>Burkhardt, 2002 [149]</t>
  </si>
  <si>
    <t>Mainz, 2002 [150]</t>
  </si>
  <si>
    <t>Fassbender, 1996 [151]</t>
  </si>
  <si>
    <t>Ishii, 1995 [152]</t>
  </si>
  <si>
    <t>Chu, 1993 [153]</t>
  </si>
  <si>
    <t>Chu, 1992 (1) [154]</t>
  </si>
  <si>
    <t>Chu, 1992 (2) [155]</t>
  </si>
  <si>
    <t>Davey, 1991 [156]</t>
  </si>
  <si>
    <t>Chu, 1991 [157]</t>
  </si>
  <si>
    <t>Neu, 1991 [158]</t>
  </si>
  <si>
    <t>Ferrero, 1990 [159]</t>
  </si>
  <si>
    <t>Iwai, 1989 [160]</t>
  </si>
  <si>
    <t xml:space="preserve">Takeshita 1989 [161] (via Sturgill 1992 [162]) </t>
  </si>
  <si>
    <t>Ciprofloxacin</t>
  </si>
  <si>
    <t>Bayer, 2020 [164]</t>
  </si>
  <si>
    <t>Guzman, 2018 [165]</t>
  </si>
  <si>
    <t>de Oliveira, 2016 [166]</t>
  </si>
  <si>
    <t>Stoica, 2015 [167]</t>
  </si>
  <si>
    <t>Landersdorfer, 2010 [168]</t>
  </si>
  <si>
    <t>Rambla-Alegre, 2009 [169]</t>
  </si>
  <si>
    <t>How, 2007 [170]</t>
  </si>
  <si>
    <t>Akinleye, 2007 [171]</t>
  </si>
  <si>
    <t>Wagenlehner, 2006 (1) [172]</t>
  </si>
  <si>
    <t>Washington, 2006 [173]</t>
  </si>
  <si>
    <t>Wagenlehner, 2006 (2) [174]</t>
  </si>
  <si>
    <t>Washington, 2005 [175]</t>
  </si>
  <si>
    <t>Overholser, 2004 [176]</t>
  </si>
  <si>
    <t>Boy, 2004 [177]</t>
  </si>
  <si>
    <t>Wagenlehner, 2003 [178]</t>
  </si>
  <si>
    <t>Kim, 2003 [179]</t>
  </si>
  <si>
    <t>Sambatakou, 2001 [180]</t>
  </si>
  <si>
    <t>Lubasch, 2000 [181]</t>
  </si>
  <si>
    <t>Chukwuani, 2000 [182]</t>
  </si>
  <si>
    <t>Naber, 1999 [185]</t>
  </si>
  <si>
    <t>Lesne-Hulin, 1999 [186]</t>
  </si>
  <si>
    <t>Kamberi, 1999 [187]</t>
  </si>
  <si>
    <t>Chukwuani, 1998 [188]</t>
  </si>
  <si>
    <t>Well, 1998 [189]</t>
  </si>
  <si>
    <t>Krueger, 1997 [190]</t>
  </si>
  <si>
    <t>Rao, 1997 [191]</t>
  </si>
  <si>
    <t>Knupp, 1997 [192]</t>
  </si>
  <si>
    <t>Garrelts, 1996 [193]</t>
  </si>
  <si>
    <t>Schaefer, 1996 [194]</t>
  </si>
  <si>
    <t>Shi, 1996 [195]</t>
  </si>
  <si>
    <t>Jaehde, 1995 [196]</t>
  </si>
  <si>
    <t>Hong, 1995 [197]</t>
  </si>
  <si>
    <t>Stuht, 1995 [198]</t>
  </si>
  <si>
    <t>Kamali, 1994 [199]</t>
  </si>
  <si>
    <t>Navarro, 1994 [200]</t>
  </si>
  <si>
    <t>Shah, 1994 [201]</t>
  </si>
  <si>
    <t>Lehto, 1994 (1) [202]</t>
  </si>
  <si>
    <t>Catchpole, 1994 [203]</t>
  </si>
  <si>
    <t>Allard, 1993 [204]</t>
  </si>
  <si>
    <t>Liang, 1993 [205]</t>
  </si>
  <si>
    <t>Israel, 1993 [206]</t>
  </si>
  <si>
    <t>Paradis, 1992 [207]</t>
  </si>
  <si>
    <t>Lettieri, 1992 [208]</t>
  </si>
  <si>
    <t>Frost, 1992 [209]</t>
  </si>
  <si>
    <t>Kees, 1992 [210]</t>
  </si>
  <si>
    <t>Suthakaran, 1992 [211]</t>
  </si>
  <si>
    <t>Christensson, 1992 [212]</t>
  </si>
  <si>
    <t>Neuvonen, 1991 [213]</t>
  </si>
  <si>
    <t>Fang, 1991 [214]</t>
  </si>
  <si>
    <t>Ruhnke, 1990 [215]</t>
  </si>
  <si>
    <t>Brouwers, 1990 [216]</t>
  </si>
  <si>
    <t>Harder, 1990 [217]</t>
  </si>
  <si>
    <t>Urso, 1990 [218]</t>
  </si>
  <si>
    <t>Barriere, 1990 [219]</t>
  </si>
  <si>
    <t>Rohwedder, 1990 [220]</t>
  </si>
  <si>
    <t>Deppermann, 1989 (1) [221]</t>
  </si>
  <si>
    <t>Staib, 1989 [222]</t>
  </si>
  <si>
    <t>Polk, 1989 [223]</t>
  </si>
  <si>
    <t>Bergan, 1989 [224]</t>
  </si>
  <si>
    <t>Ljungberg, 1989 [225]</t>
  </si>
  <si>
    <t>Nix, 1989 [227]</t>
  </si>
  <si>
    <t>Ljungberg, 1988 [228]</t>
  </si>
  <si>
    <t>Lode, 1988 [229]</t>
  </si>
  <si>
    <t>Reed, 1988 [230]</t>
  </si>
  <si>
    <t>Brogard, 1988 [231]</t>
  </si>
  <si>
    <t>Zeiler, 1988 [232]</t>
  </si>
  <si>
    <t>Parry, 1988 [233]</t>
  </si>
  <si>
    <t>Watson, 1987 [234]</t>
  </si>
  <si>
    <t>Davis, 1987 [235]</t>
  </si>
  <si>
    <t>Gasser, 1987 [236]</t>
  </si>
  <si>
    <t>Bergan, 1987 [237]</t>
  </si>
  <si>
    <t>Drusano, 1987 [239]</t>
  </si>
  <si>
    <t>Dudley, 1987 [240]</t>
  </si>
  <si>
    <t>Jehl, 1987 [241]</t>
  </si>
  <si>
    <t>Singlas, 1987 [242]</t>
  </si>
  <si>
    <t>Fraschini, 1987 [243]</t>
  </si>
  <si>
    <t>Bayer, 1987 [244]</t>
  </si>
  <si>
    <t>Drusano, 1986 (1) [245]</t>
  </si>
  <si>
    <t>Drusano, 1986 (2) [246]</t>
  </si>
  <si>
    <t>Ball, 1986 [247]</t>
  </si>
  <si>
    <t>Borner, 1986 [248]</t>
  </si>
  <si>
    <t>Bergan, 1986 (1) [249]</t>
  </si>
  <si>
    <t>Goldfarb, 1986 [250]</t>
  </si>
  <si>
    <t>Bergan, 1986 (2) [251]</t>
  </si>
  <si>
    <t>Tartaglione, 1986 [252]</t>
  </si>
  <si>
    <t>Bender, 1986 [253]</t>
  </si>
  <si>
    <t>Wise, 1986 (1) [254]</t>
  </si>
  <si>
    <t>Davis, 1985 [255]</t>
  </si>
  <si>
    <t>Boelaert, 1985 [256]</t>
  </si>
  <si>
    <t>Brogard, 1985 [257]</t>
  </si>
  <si>
    <t>Ledergerber, 1985 [258]</t>
  </si>
  <si>
    <t>Hoffken, 1985 [259]</t>
  </si>
  <si>
    <t>Brittain, 1985 [260]</t>
  </si>
  <si>
    <t>Gonzalez, 1984 [261]</t>
  </si>
  <si>
    <t>Brumfitt, 1984 [262]</t>
  </si>
  <si>
    <t>Wise, 1984 [263]</t>
  </si>
  <si>
    <t>Wingender, 1984 [264]</t>
  </si>
  <si>
    <t>Hoffler, 1984 [265]</t>
  </si>
  <si>
    <t xml:space="preserve">                     </t>
  </si>
  <si>
    <t>oral</t>
  </si>
  <si>
    <t xml:space="preserve">   oral              </t>
  </si>
  <si>
    <t>intravenous</t>
  </si>
  <si>
    <t>Kampmann 1971 [61], via Bergan review 1986 [62]</t>
  </si>
  <si>
    <t>Holton et al. (2022)</t>
  </si>
  <si>
    <t xml:space="preserve">Crump, 1983 [266]                       </t>
  </si>
  <si>
    <t xml:space="preserve">Schwartz, 1970 (1) [39]               </t>
  </si>
  <si>
    <t>Almeida, Luis, and Patrício Soares‐da‐ Silva. "Safety, tolerability, and pharmacokinetic profile of BIA 2‐093, a novel putative antiepileptic, in a rising multiple‐dose study in young healthy humans." The Journal of Clinical Pharmacology 44.8 (2004): 906-918.</t>
  </si>
  <si>
    <t>Eichelbaum, M., Tomson, T., Tybring, G. et al. Carbamazepine Metabolism in Man. Clin Pharmacokinet 10, 80–90 (1985).</t>
  </si>
  <si>
    <t>Carda-Broch S, Rapado-
Martínez I, Esteve-Romero J, García-Alvarez-Coque MC. Analysis of urine samples containing cardiovascular drugs by micellar liquid chromatography with fluorimetric detection. J Chromatogr Sci. 1999
Apr;37(4):93-102. doi:
10.1093/chromsci/37.4.93.
PMID: 10347884.</t>
  </si>
  <si>
    <t>Fliser D, Bischoff I, Hanses A, Block S, Joest M, Ritz E, Mutschler E. Renal handling of drugs in the healthy elderly. Creatinine clearance underestimates renal function and pharmacokinetics remain virtually unchanged. Eur J Clin Pharmacol. 1999 May;55(3):205-11. doi: 10.1007/s002280050619. PMID: 10379636.</t>
  </si>
  <si>
    <t>Albishri HM, Abd El-Hady D,
Tayeb RA. Cyclodextrin Micellar
LC for Direct Selective Analysis
of Combined Dosage Drugs in
Urine. J Chromatogr Sci. 2015
Aug;53(7):1123-30. doi:
10.1093/chromsci/bmu174. Epub 2014 Dec 23. PMID:
25540291.</t>
  </si>
  <si>
    <t>Lilja JJ, Juntti-Patinen L,
Neuvonen PJ. Effect of rifampicin on the pharmacokinetics of atenolol. Basic Clin Pharmacol Toxicol.
2006 Jun;98(6):555-8. doi:
10.1111/j.1742-
7843.2006.pto_379.x. PMID:
16700816.</t>
  </si>
  <si>
    <t>Lilja JJ, Raaska K, Neuvonen PJ.
Effects of orange juice on the
pharmacokinetics of atenolol. Eur J Clin Pharmacol. 2005
Jul;61(5-6):337-40. doi:
10.1007/s00228-005-0930-9. Epub 2005 Jun 28. PMID:
15983823.</t>
  </si>
  <si>
    <t>Wang XM, Yu XY, Lin SG.
Pharmacokinetics of atenolol
enantiomers in 12 Chinese healthy men. Zhongguo Yao Li Xue Bao. 1999 Apr;20(4):367-
70. PMID: 10452127.</t>
  </si>
  <si>
    <t>Boyd RA, Chin SK, Don-Pedro O,
Williams RL, Giacomini KM. The pharmacokinetics of the
enantiomers of atenolol. Clin
Pharmacol Ther. 1989
Apr;45(4):403-10. doi:
10.1038/clpt.1989.47. PMID:
2702798.</t>
  </si>
  <si>
    <t>McAinsh J, Holmes BF, Smith S,
Hood D, Warren D. Atenolol
kinetics in renal failure. Clin
Pharmacol Ther. 1980
Sep;28(3):302-9. doi:
10.1038/clpt.1980.166. PMID:
7408390.</t>
  </si>
  <si>
    <t>Riva E, Farina PL, Sega R,
Tognoni G, Bastain W, McAinsh
J. Pharmacokinetics of atenolol
in hypertensive subjects with and without co-administration of chlorthalidone. Eur J Clin Pharmacol. 1980
May;17(5):333-7. doi:
10.1007/BF00558445. PMID:
7418712.</t>
  </si>
  <si>
    <t>Flouvat B, Decourt S, Aubert P, Potaux L, Domart M, Goupil A, Baglin A. Pharmacokinetics of atenolol in patients with terminal renal failure and influence of haemodialysis. Br J Clin Pharmacol. 1980 Apr;9(4):379-85. doi: 10.1111/j.1365-2125.1980.tb01065.x. PMID: 7378254; PMCID: PMC1429992.</t>
  </si>
  <si>
    <t>Fitzgerald JD, Ruffin R,
Smedstad KG, Roberts R, McAinsh J. Studies on the pharmacokinetics and pharmacodynamics of atenolol in man. Eur J Clin Pharmacol.
1978 May 17;13(2):81-9. doi:
10.1007/BF00609750. PMID:
658112.</t>
  </si>
  <si>
    <t>Khan S, Mahmood W.
Evaluation of the Effect of Atenolol Induced Depression in Cardiac Output on Its Own Excretion through Urine Analysis. Iran J Pharm Res. 2019
Winter;18(1):523-530. PMID:
31089386; PMCID: PMC6487397.</t>
  </si>
  <si>
    <t>McAinsh J, Bastain W, Young J,
Harry JD. Bioavailability in man of atenolol and chlorthalidone from a combination formulation. Biopharm Drug Dispos. 1981 Apr-Jun;2(2):147-
56. doi:
10.1002/bdd.2510020207.
PMID: 7248478.</t>
  </si>
  <si>
    <t>Mcainsh J, Simpson WT, Holmes
BF, Young J, Ellis SH.
Bioavailability of atenolol formulations. Biopharm Drug Dispos. 1980 Oct-Dec;1(6):323-
32. doi:
10.1002/bdd.2510010604.
PMID: 7459427.</t>
  </si>
  <si>
    <t>Abshagen, U., Bablok, W., Koch, K. et
al. Disposition pharmacokinetics of bezafibrate in man. Eur J Clin
Pharmacol 16, 31–38 (1979). https://doi.org/10.1007/BF00644963</t>
  </si>
  <si>
    <t>Ledermann H, Kaufmann B. Comparative
Pharmacokinetics of 400 mg Bezafibrate
after a Single Oral Administration of a New Slow-Release Preparation and the Currently Available Commercial Form. Journal of International Medical Research. November 1981:516-520. doi:10.1177/030006058100900616</t>
  </si>
  <si>
    <t>Castoldi D, Monzani V, Tofanetti O.
Determination of bezafibrate in human plasma and urine by high-performance liquid chromatography. J Chromatogr. 1985
Nov 8;344:259-65. doi: 10.1016/s0378-
4347(00)82026-5. PMID: 4086546.</t>
  </si>
  <si>
    <t>Kirch W, Santos SR, Geller M, Mönig
H, Stenzel J, Ohnhaus EE. Influence of
nitrendipine and verapamil on plasma levels, urinary excretion, and beta- blocking effect of metoprolol. Cardiovasc Drugs Ther. 1988
Jul;2(2):205-9. doi:
10.1007/BF00051235. PMID:
3154706.</t>
  </si>
  <si>
    <t>Lim HK, Linh PT, Hong CH, Kim KH,
Kang JS. Enantioselective determination of metoprolol and major metabolites in human urine by capillary electrophoresis. J Chromatogr B Biomed Sci Appl. 2001
May 5;755(1-2):259-64. doi:
10.1016/s0378-4347(01)00118-9.
PMID: 11393712.</t>
  </si>
  <si>
    <t>Quarterman CP, Kendall MJ, Jack DB.
The effect of age on the pharmacokinetics of metoprolol and its metabolites. Br J Clin Pharmacol.
1981 Mar;11(3):287-94. doi:
10.1111/j.1365-2125.1981.tb00536.x.
PMID: 7213530; PMCID:
PMC1401609.</t>
  </si>
  <si>
    <t>Xu T, Bao S, Geng P, Luo J, Yu L, Pan P,
Chen Y, Hu G. Determination of metoprolol and its two metabolites in human plasma and urine by high performance liquid chromatography with fluorescence detection and its application in pharmacokinetics. J Chromatogr B Analyt Technol Biomed Life Sci. 2013 Oct 15;937:60-6. doi:
10.1016/j.jchromb.2013.08.017. Epub
2013 Aug 24. PMID: 24018320.</t>
  </si>
  <si>
    <t>Lennard MS. Quantitative analysis of
metoprolol and three of its metabolites in urine and liver
microsomes by high-performance liquid chromatography. J Chromatogr.
1985 Jul 12;342(1):199-205. doi:
10.1016/s0378-4347(00)84504-1.
PMID: 4044750.</t>
  </si>
  <si>
    <t>Gyllenhaal O, Hoffmann KJ.
Simultaneous determination of
metoprolol and metabolites in urine by capillary column gas chromatography as oxazolidineone and trimethylsilyl derivatives. J Chromatogr. 1984 Aug 10;309(2):317-
28. doi: 10.1016/0378-
4347(84)80039-0. PMID: 6480783.</t>
  </si>
  <si>
    <t>Jordö L, Attman PO, Aurell M,
Johansson L, Johnsson G, Regårdh CG.
Pharmacokinetic and pharmacodynamic properties of metoprolol in patients with impaired renal function. Clin Pharmacokinet.
1980 Mar-Apr;5(2):169-80. doi:
10.2165/00003088-198005020-
00004. PMID: 6102500.</t>
  </si>
  <si>
    <t>Borg KO, Carlsson E, Hoffmann KJ,
Jönsson TE, Thorin H, Wallin B. Metabolism of metoprolol-(3-h) in
man, the dog and the rat. Acta
Pharmacol Toxicol (Copenh).
1975;36(Suppl 5):125-35. doi:
10.1111/j.1600-0773.1975.tb03329.x.
PMID: 1079685.</t>
  </si>
  <si>
    <t>Paar, W. D., et al. "Polymorphic CYP2D6 mediates O- demethylation of the opioid analgesic tramadol." European journal of clinical pharmacology 53 (1997): 235-239.</t>
  </si>
  <si>
    <t>DAI Ashiru, Simple and universal HPLC-UV method to determine cimetidine, ranitidine, famotidine and nizatidine in urine: Application to the analysis of ranitidine and its metabolites in human volunteers, 2007</t>
  </si>
  <si>
    <t>T Prueksaritanont, SIMULTANEOUS DETERMINATION OF RANITIDINE AND ITS METABOLITES IN HUMAN-PLASMA AND URINE BY HIGH- PERFORMANCE LIQUID-CHROMATOGRAPHY, 1989</t>
  </si>
  <si>
    <t>P. Carey, DETERMINATION OF RANITIDINE AND ITS METABOLITES IN HUMAN URINE BY REVERSED-PHASE ION-PAIR HIGH-PERFORMANCE LIQUID CHROMATOGRAPHY , 1981</t>
  </si>
  <si>
    <t>A. Hecken, RANITIDINE:SINGLEDOSEPHARMACOKINETICSANDABSOLUTEBIOAVAILABI LITYINMAN, 1982</t>
  </si>
  <si>
    <t xml:space="preserve">D. C. Garg, Pharmacokinetics of Ranitidine in Patients with Renal Failure,
1986  </t>
  </si>
  <si>
    <t>S A Shah, Development of a sensitive high-performance thin-layer chromatography method for estimation of ranitidine in urine and its application for bioequivalence decision for ranitidine tablet formulations,2002</t>
  </si>
  <si>
    <t xml:space="preserve">References Holton et al. </t>
  </si>
  <si>
    <t>References Ceolotti et al.</t>
  </si>
  <si>
    <t>Gill HJ, Maggs JL, Madden S, Pirmohamed M, Park K. The effect of fluconazole and ketoconazole on the metabolism of sulphamethoxazole. British Journal of Clinical Pharmacology. 1996;42(3):347-53.</t>
  </si>
  <si>
    <t>Moore KHP, Yuen GJ, Raasch RH, Eron JJ, Martin D, Mydlow PK, et al. Pharmacokinetics of lamivudine administered alone and with trimethoprimsulfamethoxazole. Clin Pharmacol Ther. 1996;59(5):550-8.</t>
  </si>
  <si>
    <t>Srinivas NR, Knupp CA, Batteiger B, Smith RA, Barbhaiya RH. A pharmacokinetic interaction study of didanosine coadministered with trimethoprim and/or sulphamethoxazole in HIV seropositive asymptomatic male patients. British Journal of Clinical Pharmacology. 996;41(3):207-15.</t>
  </si>
  <si>
    <t>Mitra AK, Thummel KE, Kalhorn TF, Kharasch ED, Unadkat JD, Slattery JT. Inhibition of sulfamethoxazole hydroxylamine formation by fluconazole in human liver microsomes and healthy volunteers. Clin Pharmacol Ther. 1996;59(3):332-40.</t>
  </si>
  <si>
    <t>Vanderven A, Vree TB, Kolmer E, Koopmans PP, Vandermeer JWM. URINARY RECOVERY AND KINETICS OF SULFAMETHOXAZOLE AND ITS METABOLITES IN HIV- SEROPOSITIVE PATIENTS AND HEALTHY-VOLUNTEERS AFTER A SINGLE ORAL DOSE OF SULFAMETHOXAZOLE. British Journal of Clinical Pharmacology. 1995;39(6):621-5.</t>
  </si>
  <si>
    <t>Vree TB, Vanderven A, Koopmans PP, Kolmer E, Vanwissen C. PHARMACOKINETICS OF SULFAMETHOXAZOLE WITH ITS HYDROXY METABOLITES AND N-4-ACETYL- GLUCURONIDE, N-1-GLUCURONIDE CONJUGATES IN HEALTHY-HUMAN VOLUNTEERS. Clinical Drug Investigation. 1995;9(1):43-53.</t>
  </si>
  <si>
    <t>Vree TB, Vanderven A, Verweyvanwissen C, Vanewijkbenekenkolmer EWJ, Swolfs AEM, Vangalen PM, et al. ISOLATION, IDENTIFICATION AND DETERMINATION OF SULFAMETHOXAZOLE AND ITS KNOWN METABOLITES IN HUMAN PLASMA AND URINE BY HIGH-PERFORMANCE LIQUID-CHROMATOGRAPHY. Journal of Chromatography B- Biomedical Applications. 1994;658(2):327-40.</t>
  </si>
  <si>
    <t>Vanderven A, Mantel MA, Vree TB, Koopmans PP, Vandermeer JWM. FORMATION AND ELIMINATION OF SULFAMETHOXAZOLE HYDROXYLAMINE AFTER ORAL- ADMINISTRATION OF SULFAMETHOXAZOLE. British Journal of Clinical Pharmacology. 1994;38(2):147-50.</t>
  </si>
  <si>
    <t>Lee BL, Delahunty T, Safrin S. THE HYDROXYLAMINE OF SULFAMETHOXAZOLE AND ADVERSE REACTIONS IN PATIENTS WITH ACQUIRED-IMMUNODEFICIENCY- SYNDROME. Clin Pharmacol Ther. 1994;56(2):184-9.</t>
  </si>
  <si>
    <t>Ying Z, Agarwal KC, Beylot M, Soloviev MV, David F, Reider M, et al. ASSAY OF THE ACETYL-COA PROBE ACETYL-SULFAMETHOXAZOLE AND OF SULFAMETHOXAZOLE BY GAS-CHROMATOGRAPHY MASS-SPECTROMETRY. Analytical Biochemistry. 1993;212(2):481-6.</t>
  </si>
  <si>
    <t>Stevens RC, Laizure SC, Sanders PL, Stein DS. MULTIPLE-DOSE PHARMACOKINETICS OF 12 MILLIGRAMS OF TRIMETHOPRIM AND 60 MILLIGRAMS OF SULFAMETHOXAZOLE PER KILOGRAM OF BODY-WEIGHT PER DAY IN HEALTHY-VOLUNTEERS. Antimicrobial Agents and Chemotherapy. 1993;37(3):448-52.</t>
  </si>
  <si>
    <t>Cribb AE, Spielberg SP. SULFAMETHOXAZOLE IS METABOLIZED TO THE HYDROXYLAMINE IN HUMANS. Clin Pharmacol Ther. 1992;51(5):522-6.</t>
  </si>
  <si>
    <t>Stevens RC, Laizure SC, Williams CL, Stein DS. PHARMACOKINETICS AND ADVERSE-EFFECTS OF 20-MG-KG-DAY TRIMETHOPRIM AND 100-MG-KG-DAY SULFAMETHOXAZOLE IN HEALTHY ADULT SUBJECTS. Antimicrobial Agents and Chemotherapy. 1991;35(9):1884-90.</t>
  </si>
  <si>
    <t>Hutabarat RM, Unadkat JD, Sahajwalla C, McNamara S, Ramsey B, Smith AL. DISPOSITION OF DRUGS IN CYSTIC-FIBROSIS .1. SULFAMETHOXAZOLE AND TRIMETHOPRIM. Clin Pharmacol Ther. 1991;49(4):402-9.</t>
  </si>
  <si>
    <t>Avgerinos A, Athanasiou G, Malamataris S. RAPID SIMULTANEOUS DETERMINATION OF TRIMETHOPRIM, SULFAMETHOXAZOLE AND ACETYLSULFAMETHOXAZOLE IN HUMAN PLASMA AND URINE BY HIGH-PERFORMANCE LIQUID-CHROMATOGRAPHY. Journal of Pharmaceutical and Biomedical Analysis. 1991;9(6):507-10.</t>
  </si>
  <si>
    <t>Floresmurrieta FJ, Castanedahernandez G, Menendez JC, Chavez F, Herrera JE, Hong E. PHARMACOKINETICS OF SULFAMETHOXAZOLE AND TRIMETHOPRIM IN MEXICANS - BIOEQUIVALENCE OF 2 ORAL FORMULATIONS (URO-TS-D AND BACTRIM-F). Biopharmaceutics &amp; Drug Disposition. 1990;11(9):765-72.</t>
  </si>
  <si>
    <t>Garg SK, Ghosh SS, Mathur VS. COMPARATIVE PHARMACOKINETIC STUDY OF 4 DIFFERENT SULFONAMIDES IN COMBINATION WITH TRIMETHOPRIM IN HUMAN VOLUNTEERS. International Journal of Clinical Pharmacology and Therapeutics. 1986;24(1):23-5.</t>
  </si>
  <si>
    <t>Varoquaux O, Lajoie D, Gobert C, Cordonnier P, Ducreuzet C, Pays M, et al. Pharmacokinetics of the trimethoprim-sulphamethoxazole combination in the elderly. British Journal of Clinical Pharmacology. 1985;20(6):575-81.</t>
  </si>
  <si>
    <t>Spreux-Varoquaux O, Chapalain JP, Cordonnier P, Advenier C, Pays M, Lamine L. Determination of trimethoprim, sulphamethoxazole and its N4-acetyl metabolite in biological fluids by high-performance liquid chromatography. Journal of Chromatography B: Biomedical Sciences and Applications. 1983;274:187-99.</t>
  </si>
  <si>
    <t>Watson ID, Cohen HN, Stewart MJ, McIntosh SJ, Shenkin A, Thomson JA. COMPARATIVE PHARMACOKINETICS OF CO-TRIFAMOLE AND CO-TRIMOXAZOLE TO STEADY-STATE IN NORMAL SUBJECTS. British Journal of Clinical Pharmacology. 1982;14(3):437-43.</t>
  </si>
  <si>
    <t>Mannisto PT, Mantyla R, Mattila J, Nykanen S, Lamminsivu U. COMPARISON OF PHARMACOKINETICS OF SULFADIAZINE AND SULFAMETHOXAZOLE AFTER INTRAVENOUS-INFUSION. Journal of Antimicrobial Chemotherapy. 1982;9(6):461-70.</t>
  </si>
  <si>
    <t>Singlas E, Colin JN, Rottembourg J, Meessen JP, Demartin A, Legrain M, et al. PHARMACOKINETICS OF SULFAMETHOXAZOLE TRIMETHOPRIM COMBINATION DURING CHRONIC PERITONEAL-DIALYSIS - EFFECT OF PERITONITIS. European Journal of Clinical Pharmacology. 1982;21(5):409-15.</t>
  </si>
  <si>
    <t>Naber K, Vergin H, Weigand W. PHARMACOKINETICS OF CO-TRIMOXAZOLE AND CO-TETROXAZINE IN GERIATRIC-PATIENTS. Infection. 1981;9(5):239-43.</t>
  </si>
  <si>
    <t>Vree TB, O'Reilly WJ, Hekster YA, Damsma JE, van der Kleijn E. Determination of the acetylator phenotype and pharmacokinetics of some sulphonamides in man. Clin Pharmacokinet. 1980;5(3):274-94.</t>
  </si>
  <si>
    <t>Grose WE, Bodey GP, Loo TL. CLINICAL PHARMACOLOGY OF INTRAVENOUSLY ADMINISTERED TRIMETHOPRIM-SULFAMETHOXAZOLE. Antimicrobial Agents and Chemotherapy. 1979;15(3):447-51.</t>
  </si>
  <si>
    <t>Bergan T, Brodwall EK, Vikmo H, Anstad U. PHARMACOKINETICS OF SULFADIAZINE, SULFAMETHOXAZOLE AND TRIMETHOPRIM IN PATIENTS WITH VARYING RENAL-FUNCTION. Infection. 1979;7:S382-S7.</t>
  </si>
  <si>
    <t>Ortengren B, Magni L, Bergan T. DEVELOPMENT OF SULFONAMIDE-TRIMETHOPRIM COMBINATIONS FOR URINARY-TRACT INFECTIONS .3. PHARMACOKINETIC CHARACTERIZATION OF SULFADIAZINE AND SULFAMETHOXAZOLE GIVEN WITH TRIMETHOPRIM. Infection. 1979;7:S371-S81.</t>
  </si>
  <si>
    <t>Ortengren B, Fellner H, Bergan T. DEVELOPMENT OF SULFONAMIDE-TRIMETHOPRIM COMBINATIONS FOR URINARY-TRACT INFECTIONS .2. COMPARATIVE PHARMACOKINETICS OF 5 SULFONAMIDES. Infection. 1979;7:S367-S70.</t>
  </si>
  <si>
    <t>Vree TB, Hekster YA, Baars AM, Damsma JE, Vanderkleijn E. PHARMACOKINETICS OF SULFAMETHOXAZOLE IN MAN - EFFECTS OF URINARY PH AND URINE FLOW ON METABOLISM AND RENAL EXCRETION OF SULFAMETHOXAZOLE AND ITS METABOLITE N4-ACETYLSULPHAMETHOXAZOLE. Clinical Pharmacokinetics. 1978;3(4):319-29.</t>
  </si>
  <si>
    <t>Vree TB, Hekster YA, Baars AM, Damsma JE, Vanderkleijn E. DETERMINATION OF TRIMETHOPRIM AND SULFAMETHOXAZOLE (CO-TRIMOXAZOLE) IN BODY-FLUIDS OF MAN BY MEANS OF HIGH-PERFORMANCE LIQUID-CHROMATOGRAPHY. Journal of Chromatography. 1978;146(1):103-12.</t>
  </si>
  <si>
    <t>Fass RJ, Prior RB, Perkins RL. PHARMACOKINETICS AND TOLERANCE OF A SINGLE 12-TABLET DOSE OF TRIMETHOPRIM (960 MG)-SULFAMETHOXAZOLE (4,800 MG). Antimicrobial Agents and Chemotherapy. 1977;12(1):102-6.</t>
  </si>
  <si>
    <t>Kremers P, Duvivier J, Heusghem C. PHARMACOKINETIC STUDIES OF CO-TRIMOXAZOLE IN MAN AFTER SINGLE AND REPEATED DOSES. J Clin Pharmacol. 1974;14(2-3):112-7.</t>
  </si>
  <si>
    <t>Kaplan SA, Weinfeld RE, Abruzzo CW, McFaden K, Jack ML, Weissman L. PHARMACOKINETIC PROFILE OF TRIMETHOPRIM-SULFAMETHOXAZOLE IN MAN. Journal of Infectious Diseases. 1973;128:S547-S55.</t>
  </si>
  <si>
    <t>Welling PG, Craig WA, Amidon GL, Kunin CM. PHARMACOKINETICS OF TRIMETHOPRIM AND SULFAMETHOXAZOLE IN NORMAL SUBJECTS AND IN PATIENTS WITH RENAL-FAILURE. Journal of Infectious Diseases. 1973;128:S556-S66.</t>
  </si>
  <si>
    <t>Mannisto P, Tuomisto J, Saris NE, Lehtinen T. PHARMACOKINETIC STUDIES WITH TRIMETHOPRIM AND DIFFERENT DOSES OF SULFADIAZINE IN HEALTHY HUMAN SUBJECTS. Chemotherapy. 1973;19(5):289-98.</t>
  </si>
  <si>
    <t>Marks MI, Kazemi M, Hales B, Neims AH. PHARMACOKINETIC STUDIES OF TRIMETHOPRIM-SULFAMETHOXAZOLE IN CHILDREN WITH GASTROENTERITIS. Pediatric Research. 1973;7(4):320-.</t>
  </si>
  <si>
    <t>Craig FA. EVALUATION OF MEDICAL RESIDENTS. Ann Intern Med. 1973;78(2):314-.</t>
  </si>
  <si>
    <t>Baethke R, Golde G, Gahl G. SULFAMETHOXAZOLE/TRIMETHOPRIM - PHARMACOKINETIC STUDIES IN PATIENTS WITH CHRONIC RENAL-FAILURE. European Journal of Clinical Pharmacology. 1972;4(4):233-&amp;.</t>
  </si>
  <si>
    <t>Schwartz DE, Rieder J. PHARMACOKINETICS OF SULFAMETHOXAZOLE - TRIMETHOPRIM IN MAN AND THEIR DISTRIBUTION IN RAT. Chemotherapy. 1970;15(6):337-</t>
  </si>
  <si>
    <t>Wagenlehner FM, Münch F, Pilatz A, Bärmann B, Weidner W, Wagenlehner CM, et al. Urinary concentrations and antibacterial activities of nitroxoline at 250 milligrams versus trimethoprim at 200 milligrams against uropathogens in healthy volunteers. Antimicrob Agents Chemother. 2014;58(2):713-21.</t>
  </si>
  <si>
    <t>EMEA. Committee for veterinary medicinal products: Trimethoprim: Summary report (2). Unit VME; 1997. Report No.: 2 Contract No.: EMEA/MRL/255/97-FINAL.</t>
  </si>
  <si>
    <t>Ghosh SS, Bhatt AD, Bhatia SC, Shah SJ, Banavalikar MM, Shah NN, et al. Effect of food on the absorption and pharmacokinetics of sulphadiazine and trimethoprim after administration of Aubril to healthy human volunteers. J Assoc Physicians India. 1988;36(10):607-10.</t>
  </si>
  <si>
    <t>Stachowska B, Se?czuk W. Studies on kinetics of sulfadiazine and trimethoprim excretion in man. Int J Clin Pharmacol Ther Toxicol. 1987;25(2):81-5.</t>
  </si>
  <si>
    <t>Leone N, Barzaghi N, Monteleone M, Perucca E, Cerutti R, Crema A. Pharmacokinetics of co-trimazine after single and multiple doses. Arzneimittelforschung. 1987;37(1):70-4.</t>
  </si>
  <si>
    <t>Hoppu K, Tuomisto J, Koskimies O, Simell O. Food and guar decrease absorption of trimethoprim. Eur J Clin Pharmacol. 1987;32(4):427-9.</t>
  </si>
  <si>
    <t>Rylance GW, George RH, Healing DE, Roberts DG. Single dose pharmacokinetics of trimethoprim. Arch Dis Child. 1985;60(1):29-33.</t>
  </si>
  <si>
    <t>Webster DR. Pharmacokinetics of a trimethoprim-sulphametrol combination after oral administration. Drugs Exptl Clin Res. 1984;X(1):33-7.</t>
  </si>
  <si>
    <t>Chitnis DS. Bioavailability study on trimethoprim nitrofurantoin combination. Indian Drugs. 1984;22(3):135-8.</t>
  </si>
  <si>
    <t>Seth SD, Malhotra KK, Rao A, Gupta M. Pharmacokinetics of newer combination of sulpha &amp; trimethoprim. Indian J Med Res. 1983;78:118-25.</t>
  </si>
  <si>
    <t>Ahlmén J, Brorson JE. Pharmacokinetics of trimethoprim given in single daily doses for three days. Scand J Infect Dis. 1982;14(2):143-5.</t>
  </si>
  <si>
    <t>Reeves DS, Bywater MJ, Bullock DW, Holt HA. Pharmacokinetic study of a sulfametopyrazine/trimethoprim combination (Kelfiprim) in human volunteers. Journal of Antimicrobial Chemotherapy. 1980;6(5):647-56.</t>
  </si>
  <si>
    <t>Buniva G, Palminteri R, Berti M. Kinetics of a rifampicin-trimethoprim combination. Int J Clin Pharmacol Biopharm. 1979;17(6):256-9.</t>
  </si>
  <si>
    <t>Andreasen F, Elsborg L, Husted S, Thomsen O. Pharmacokinetics of sulfadiazine and trimethoprim in man. Eur J Clin Pharmacol. 1978;14(1):57-67.</t>
  </si>
  <si>
    <t>Emmerson AM, Grüneberg RN, Johnson ES. The pharmacokinetics in man of a combination of rifampicin and trimethoprim. J Antimicrob Chemother. 1978;4(6):523-31.</t>
  </si>
  <si>
    <t>Bergan T, Mo HV, Anstad U. Kinetics of a sulfadiazine-trimethoprim combination. Clin Pharmacol Ther. 1977;22(2):211-24.</t>
  </si>
  <si>
    <t>Acocella G, Scotti R. Kinetic studies on the combination rifampicin-trimethoprim in man. I. Absorption and urinary excretion after administration to healthy volunteers of single doses of the two compounds alone and in combination, and of the combination over a period of 1 week. J Antimicrob Chemother. 1976;2(3):271-7.</t>
  </si>
  <si>
    <t>Hamilton-Miller JM, Brumfitt W. Trimethoprim and rifampicin: pharmacokinetic studies in man. J Antimicrob Chemother. 1976;2(2):181-8.</t>
  </si>
  <si>
    <t>Sigel CW, Brent DA. Identification of trimethoprim 3-oxide as a new urinary metabolite of trimethoprim in man. Journal of Pharmaceutical Sciences. 1973;62(4):694-5.</t>
  </si>
  <si>
    <t>Nolte H, Büttner H. Pharmacokinetics of trimethoprim and its combination with sulfamethoxazole in man after single and chronic oral administration. Chemotherapy. 1973;18(5):274-84.</t>
  </si>
  <si>
    <t>Meshi T, Sato Y. Studies on sulfamethoxazole-trimethoprim. Absorption, distribution, excretion and metabolism of trimethoprim in rat. Chem Pharm Bull (Tokyo). 1972;20(10):2079-90.</t>
  </si>
  <si>
    <t>Kampmann. Variations in urinary creatinine and endogenous creatinine-clearance due to age. Ugeskrift for Laeger. 1971;133:2369-72.</t>
  </si>
  <si>
    <t>Bergan T, Ortengren B, Westerlund D. Clinical pharmacokinetics of co-trimazine. Clin Pharmacokinet. 1986;11(5):372-86.</t>
  </si>
  <si>
    <t>Kaplan SA, Weinfeld RE, Cotler S, Abruzzo CW, Alexander K. Pharmacokinetic profile of trimethoprim in dog and man. J Pharm Sci. 1970;59(3):358-63.</t>
  </si>
  <si>
    <t>Schwartz DE, Vetter W, Englert G. Trimethoprim metabolites in rat, dog and man: qualitative and quantitative studies. Arzneimittelforschung. 1970;20(12):1867-</t>
  </si>
  <si>
    <t>Springolo V, Coppi G. HPLC determination of tetroxoprim and sulphadiazine in pharmaceutical dosage forms and in biological fluids. J Pharm Biomed Anal. 1989;7(1):57-65.</t>
  </si>
  <si>
    <t>Chiandussi L. Pharmacokinetics of co-tetroxazine in volunteers after rectal administration. Current therapeutic research. 1988;43(3):503-7.</t>
  </si>
  <si>
    <t>Vree TB, Hekster YA. Clinical pharmacokinetics of sulfonamides and their metabolites: an encyclopedia. Antibiot Chemother (1971). 1987;37:1-214.</t>
  </si>
  <si>
    <t>Vree TB, Oreilly WJ, Hekster YA, Damsma JE, Vanderkleijn E. DETERMINATION OF THE ACETYLATOR PHENOTYPE AND PHARMACOKINETICS OF SOME SULFONAMIDES IN MAN. Clinical Pharmacokinetics. 1980;5(3):274-94.</t>
  </si>
  <si>
    <t>Seppänen J. Treatment of acute urinary tract infection with low doses of sulfadiazine. Ann Clin Res. 1980(25):19-24.</t>
  </si>
  <si>
    <t>Mehta S, Nain CK, Sharma B, Mathur VS. Metabolism of sulfadiazine in children with protein calorie malnutrition. Pharmacology. 1980;21(6):369-74.</t>
  </si>
  <si>
    <t>Reeves DS, Broughall JM, Bywater MJ, Holt HA, Vergin H. Pharmacokinetics of tetroxoprim and sulphadiazine in human volunteers. J Antimicrob Chemother. 1979;5(B):119-38.</t>
  </si>
  <si>
    <t>Reutter FW, Vergin H, Sieber R, Ferber H. Pharmacokinetics of tetroxoprim/sulphadiazine in patients with impaired renal function. J Antimicrob Chemother. 1979;5(B):149-58.</t>
  </si>
  <si>
    <t>Kamienny FM, Barr M, Nagwekart JB. Mutual inhibitory effect of (?)-mandelic acid and certain sulfonamides on the kinetics of their urinary excretion in humans. Journal of Pharmaceutical Sciences. 1969;58(11):1318-24.</t>
  </si>
  <si>
    <t>Maengwyn-davies GD, Becker B, Rosen DA, Friedenwald JS. A comparison of acetylating capacity of normals and diabetics with and without retinopathy. Bulletin of the Johns Hopkins Hospital. 1955;96:150-3.</t>
  </si>
  <si>
    <t>Sadusk JF, Tredway JB. Observations on the Absorption, Excretion, Diffusion, and Acetylation of Sulfadiazine in Man. Yale J Biol Med. 1941;13(4):539-56.</t>
  </si>
  <si>
    <t>Reinhold JG. The Absorption, Distribution and Excretion of 2-Sulfanilamidopyrimidine (Sulfapyrimidine, Sulfadiazine) in Man. Am J M Sc. 1941;201:106-15.</t>
  </si>
  <si>
    <t>Plummer N, Ensworth HK. Absorption and Excretion of Sulfadiazine. Proceedings of the Society for Experimental Biology and Medicine. 1940;45(2):734-8.</t>
  </si>
  <si>
    <t>Adkison KK, Vaidya SS, Lee DY, Koo SH, Li L, Mehta AA, et al. Oral sulfasalazine as a clinical BCRP probe substrate: pharmacokinetic effects of genetic variation (C421A) and pantoprazole coadministration. J Pharm Sci. 2010;99(2):1046-62.</t>
  </si>
  <si>
    <t>Tanigawara Y, Kita T, Aoyama N, Gobara M, Komada F, Sakai T, et al. N-acetyltransferase 2 genotype-related sulfapyridine acetylation and its adverse events. Biol Pharm Bull. 2002;25(8):1058-62.</t>
  </si>
  <si>
    <t>Tokui K, Asai Y, Arakawa T, Matsumoto T, Nabeshima T. Comparative absorption of 5-aminosalicylic acid (5-ASA) after administration of a 5-ASA enema and salazosulfapyridine (SASP) after an SASP suppository in Japanese volunteers. Biol Pharm Bull. 2002;25(2):264-7.</t>
  </si>
  <si>
    <t>Kita T, Sakaeda T, Adachi S, Sakai T, Aoyama N, Hatanaka H, et al. N-Acetyltransferase 2 genotype correlates with sulfasalazine pharmacokinetics after multiple dosing in healthy Japanese subjects. Biol Pharm Bull. 2001;24(10):1176-80.</t>
  </si>
  <si>
    <t>Christensen LA, Fallingborg J, Jacobsen BA, Abildgaard K, Rasmussen HH, Rasmussen SN, et al. Bioavailability of 5-aminosalicyclic acid from slow release 5- aminosalicyclic acid drug and sulfasalazine in normal children. Dig Dis Sci. 1993;38(10):1831-6.</t>
  </si>
  <si>
    <t>Taggart AJ, McDermott BJ, Roberts SD. The effect of age and acetylator phenotype on the pharmacokinetics of sulfasalazine in patients with rheumatoid arthritis. Clin Pharmacokinet. 1992;23(4):311-20.</t>
  </si>
  <si>
    <t>Rijk MCM, vanSchaik A, Tongeren JHMV. Disposition of Mesalazine from Mesalazine-Delivering Drugs in Patients with Inflammatory Bowel Disease, with and without Diarrhoea. Scandinavian Journal of Gastroenterology. 1992;27(10):863-8.</t>
  </si>
  <si>
    <t>Rijk MC, van Hogezand RA, van Schaik A, van Tongeren JH. Disposition of 5-aminosalicylic acid from 5-aminosalicylic acid-delivering drugs during accelerated intestinal transit in healthy volunteers. Scand J Gastroenterol. 1989;24(10):1179-85.</t>
  </si>
  <si>
    <t>Taggart AJ, McDermott B, Delargy M, Elborn S, Forbes J, Roberts SD, et al. The pharmacokinetics of sulphasalazine in young and elderly patients with rheumatoid arthritis. Scand J Rheumatol Suppl. 1987;64:29-36.</t>
  </si>
  <si>
    <t>Bondesen S, Tage-Jensen U, Jacobsen O, Hansen SH, Rasmussen SN, Hvidberg EF. 5-Aminosalicylic acid in patients with an ileo-rectal anastomosis. A comparison of the fate of sulfasalazine and Pentasa. Eur J Clin Pharmacol. 1986;31(1):23-6.</t>
  </si>
  <si>
    <t>van Hogezand RA, van Hees PA, Zwanenburg B, van Rossum JM, van Tongeren JH. Disposition of disodium azodisalicylate in healthy subjects. A possible new drug for inflammatory bowel disease. Gastroenterology. 1985;88(3):717-22.</t>
  </si>
  <si>
    <t>Chan RP, Pope DJ, Gilbert AP, Sacra PJ, Baron JH, Lennard-Jones JE. Studies of two novel sulfasalazine analogs, ipsalazide and balsalazide. Dig Dis Sci. 1983;28(7):609-15.</t>
  </si>
  <si>
    <t>Azadkhan A, Truelove S, Aronson J. The disposition and metabolism of sulphasalazine (salicylazosulphapyridine) in man. British Journal of Clinical Pharmacology. 1982;13(4):523-8.</t>
  </si>
  <si>
    <t>Das KM, Chowdhury JR, Zapp B, Fara JW. Small bowel absorption of sulfasalazine and its hepatic metabolism in human beings, cats, and rats. Gastroenterology. 1979;77(2):280-4.</t>
  </si>
  <si>
    <t>van Hees PA, Tuinte JH, van Rossum JM, van Tongeren JH. Influence of intestinal transit time on azo-reduction of salicylazosulphapyridine (Salazopyrin). Gut. 1979;20(4):300-4.</t>
  </si>
  <si>
    <t>Das K. In vivo and in vitro effect of sulfasalazine on lymphocyte in inflammatory bowel disease (IBD); systemic immunological parameters in idiopathic proctitis (IP). Gastroenterology. 1976;70(5 II).</t>
  </si>
  <si>
    <t>Bates TR, Blumenthal HP, Pieniaszek HJ, Jr. Salivary excretion and pharmacokinetics of sulfapyridine after sulfasalazine. Clin Pharmacol Ther. 1977;22(6):917-27.</t>
  </si>
  <si>
    <t>Das KM, Eastwood MA, McManus JP, Sircus W. The role of the colon in the metabolism of salicylazosulphapyridine. Scand J Gastroenterol. 1974;9(2):137-41.</t>
  </si>
  <si>
    <t>Das K. Sulfasalazine metabolism in Chrohns-diesease. Gastroenterology. 1974;66(4):682.</t>
  </si>
  <si>
    <t>Das KM, Eastwood MA, McManus JP, Sircus W. The metabolism of salicylazosulphapyridine in ulcerative colitis. I. The relationship between metabolites and the response to treatment in inpatients. Gut. 1973;14(8):631-41.</t>
  </si>
  <si>
    <t>Peppercorn MA, Goldman P. Distribution Studies of Salicylazosulfapyridine and its Metabolites. Gastroenterology. 1973;64(2):240-5.</t>
  </si>
  <si>
    <t>Schrôder H, Lewkonia RM, Price Evans DA. Metabolism of salicylazosulfapyridine in healthy subjects and in patients with ulcerative colitis; Effects of colectomy and of phenobarbital. Clin Pharmacol Ther. 1973;14(5):802-9.</t>
  </si>
  <si>
    <t>Schröder H, Campbell DE. Absorption, metabolism, and excretion of salicylazosulfapyridine in man. Clin Pharmacol Ther. 1972;13(4):539-51.</t>
  </si>
  <si>
    <t>Vree TB, Martea M, Lewin LM. High-performance liquid chromatography of sulfapyridine and its acetyl and glucuronide metabolites in rat and human urine. J Chromatogr. 1990;534:214-22.</t>
  </si>
  <si>
    <t>Schröder H. Deacetylation of acetyl sulphapyridine in man. Journal of Pharmacy and Pharmacology. 1973;25(7):591-2.</t>
  </si>
  <si>
    <t>James GV. EXCRETION OF SULPHAPYRIDINE (M. &amp; B. 693). The Lancet. 1940;235(6071):25-7.</t>
  </si>
  <si>
    <t>Lundsteen. The absorption and excretion of sulfapyridine. Ugeskrift for Laeger. 1941;103(25):801-5.</t>
  </si>
  <si>
    <t>Taylor FH, Lowell FC, Adams MA, Spring WC, Finland M, Marean NE. A COMPARATIVE STUDY OF THE BLOOD CONCENTRATIONS AND URINARY EXCRETION OF SULFAPYRIDINE AND SULFANILAMIDE AFTER SINGLE DOSES OF SULFAPYRIDINE AND RELATED COMPOUNDS ADMINISTERED BY VARIOUS ROUTES. J Clin Invest. 1940;19(1):201-13.</t>
  </si>
  <si>
    <t>Schmidt LH, Hughes HB. Absorption and Excretion of Sulfanilamidopyridine (2-Para-aminobenzenesulfonamidopyridine). Proceedings of the Society for Experimental Biology and Medicine. 1939;40(3):409-11.</t>
  </si>
  <si>
    <t>Stokinger HE. Absorption, Acetylation, and Excretion of 2 Sulfanilamido Pyridine (Dagenan, M &amp; B 693). Proceedings of the Society for Experimental Biology and Medicine. 1939;40(1):61-5.</t>
  </si>
  <si>
    <t>Long PH, Feinstone WH. Observations upon the Absorption and Excretion of Sulfapyridine (2 Sulfanilyl Aminopyridine). Proceedings of the Society for Experimental Biology and Medicine. 1938;39(3):486-91.</t>
  </si>
  <si>
    <t>Wang X, Nanovskaya TN, Zhan Y, Abdel-Rahman SM, Jasek M, Hankins GD, et al. Pharmacokinetics of metronidazole in pregnant patients with bacterial vaginosis. J Matern Fetal Neonatal Med. 2011;24(3):444-8.</t>
  </si>
  <si>
    <t>Sprandel KA, Schriever CA, Pendland SL, Quinn JP, Gotfried MH, Hackett S, et al. Pharmacokinetics and pharmacodynamics of intravenous levofloxacin at 750 milligrams and various doses of metronidazole in healthy adult subjects. Antimicrob Agents Chemother. 2004;48(12):4597-605.</t>
  </si>
  <si>
    <t>Rajnarayana K, Reddy MS, Krishna DR. Diosmin pretreatment affects bioavailability of metronidazole. Eur J Clin Pharmacol. 2003;58(12):803-7.</t>
  </si>
  <si>
    <t>Thomsen UG, Cornett C, Tjørnelund J, Hansen SH. Separation of metronidazole, its major metabolites and their conjugates using dynamically modified silica. J Chromatogr A. 1995;697(1):175-84.</t>
  </si>
  <si>
    <t>Loft S, Egsmose C, Sonne J, Poulsen HE, Døssing M, Andreasen PB. Metronidazole elimination is preserved in the elderly. Hum Exp Toxicol. 1990;9(3):155-9.</t>
  </si>
  <si>
    <t>Bergan T, Thorsteinsson SB. Pharmacokinetics of metronidazole and its metabolites in reduced renal function. Chemotherapy. 1986;32(4):305-18.</t>
  </si>
  <si>
    <t>Loft S, Døssing M, Poulsen HE, Sonne J, Olesen KL, Simonsen K, et al. Influence of dose and route of administration on disposition of metronidazole and its major metabolites. Eur J Clin Pharmacol. 1986;30(4):467-73.</t>
  </si>
  <si>
    <t>Coleman MD, Norton RS. Observation of drug metabolites and endogenous compounds in human urine by 1H nuclear magnetic resonance spectroscopy. Xenobiotica. 1986;16(1):69-77.</t>
  </si>
  <si>
    <t>Houghton G, Dennis M, Gabriel R. Pharmacokinetics of metronidazole in patients with varying degrees of renal failure. British Journal of Clinical Pharmacology. 1985;19(2):203-9.</t>
  </si>
  <si>
    <t>Ljungberg B, Nilsson-Ehle I, Ursing B. Metronidazole: pharmacokinetic observations in severely ill patients. J Antimicrob Chemother. 1984;14(3):275-83.</t>
  </si>
  <si>
    <t>Farrell G, Baird-Lambert J, Cvejic M, Buchanan N. Disposition and metabolism of metronidazole in patients with liver failure. Hepatology. 1984;4(4):722-6.</t>
  </si>
  <si>
    <t>Creasey WA, Adamovics J, Dhruv R, Platt TB, Sugerman AA. Pharmacokinetic interaction of aztreonam with other antibiotics. J Clin Pharmacol. 1984;24(4):174-80.</t>
  </si>
  <si>
    <t>Jensen JC, Gugler R. Single- and multiple-dose metronidazole kinetics. Clin Pharmacol Ther. 1983;34(4):481-7.</t>
  </si>
  <si>
    <t>Adir J, Barr WH. Effect of Sleep on Bioavailability of Tetracycline. Journal of Pharmaceutical Sciences. 1977;66(7):1000-4.</t>
  </si>
  <si>
    <t>Houghton G, Hundt H, Muller F, Templeton R. A comparison of the pharmacokinetics of metronidazole in man after oral administration of single doses of benzoylmetronidazole and metronidazole. British Journal of Clinical Pharmacology. 1982;14(2):201-6.</t>
  </si>
  <si>
    <t>Nilsson-Ehle I, Ursing B, Nilsson-Ehle P. Liquid chromatographic assay for metronidazole and tinidazole: pharmacokinetic and metabolic studies in human subjects. Antimicrob Agents Chemother. 1981;19(5):754-60.</t>
  </si>
  <si>
    <t>Rabin HR, Urtasun RC, Partington J, Koziol D, Sharon M, Walker K. High-dose metronidazole: pharmacokinetics and bioavailability using an iv preparation and application of its use as a radiosensitizer. Cancer Treat Rep. 1980;64(10-11):1087-95.</t>
  </si>
  <si>
    <t>Bergan T, Arnold E. Pharmacokinetics of metronidazole in healthy adult volunteers after tablets and suppositories. Chemotherapy. 1980;26(4):231-41.</t>
  </si>
  <si>
    <t>Alestig K, Freij L, Arnold E. Absorption and excretion of metronidazole after administration of metronidazole benzoate mixture. Scand J Infect Dis. 1980;12(2):149- 52</t>
  </si>
  <si>
    <t>Houghton GW, Thorne PS, Smith J, Templeton R, Collier J. Comparison of the pharmacokinetics of metronidazole in healthy female volunteers following either a single oral or intravenous dose. Br J Clin Pharmacol. 1979;8(4):337-41.</t>
  </si>
  <si>
    <t>Schwartz DE, Jeunet F. Comparative pharmacokinetic studies of ornidazole and metronidazole in man. Chemotherapy. 1976;22 1:19-29.</t>
  </si>
  <si>
    <t>Ralph ED, Clarke JT, Libke RD, Luthy RP, Kirby WM. Pharmacokinetics of metronidazole as determined by bioassay. Antimicrob Agents Chemother. 1974;6(6):691-6.</t>
  </si>
  <si>
    <t>Stambaugh JE, Feo LG, Manthei RW. The isolation and identification of the urinary oxidative metabolites of metronidazole in man. J Pharmacol Exp Ther. 1968;161(2):373-81.</t>
  </si>
  <si>
    <t>Kane PO, Mc FJ, Squires S, King AJ, Nicol CS. Absorption and excretion of metronidazole. I. Serum concentration and urinary excretion after oral administration. Br J Vener Dis. 1961;37(4):273-5.</t>
  </si>
  <si>
    <t>Chang MJ, Namgung H, Choi HD, Song YR, Kim SG, Oh JM, et al. Pharmacokinetics of clindamycin in the plasma and dialysate after intraperitoneal administration of clindamycin phosphoester to patients on continuous ambulatory peritoneal dialysis: an open-label, prospective, single-dose, two-institution study. Basic Clin Pharmacol Toxicol. 2012;110(6):504-9.</t>
  </si>
  <si>
    <t>Eller MG, Smith RB, Phillips JP. Absorption kinetics of topical clindamycin preparations. Biopharm Drug Dispos. 1989;10(5):505-12.</t>
  </si>
  <si>
    <t>Plaisance KI, Drusano GL, Forrest A, Townsend RJ, Standiford HC. Pharmacokinetic evaluation of two dosage regimens of clindamycin phosphate. Antimicrob Agents Chemother. 1989;33(5):618-20.</t>
  </si>
  <si>
    <t>Barza M, Goldstein JA, Kane A, Feingold DS, Pochi PE. Systemic absorption of clindamycin hydrochloride after topical application. J Am Acad Dermatol. 1982;7(2):208-14.</t>
  </si>
  <si>
    <t>Philipson A, Sabath LD, Charles D. Erythromycin and clindamycin absorption and elimination in pregnant women. Clin Pharmacol Ther. 1976;19(1):68-77.</t>
  </si>
  <si>
    <t>Peddie BA, Dann E, Bailey RR. The effect of impairment of renal function and dialysis on the serum and urine levels of clindamycin. Aust N Z J Med. 1975;5(3):198- 202</t>
  </si>
  <si>
    <t>Jackson EA, McLeod DC. Pharmacokinetics and dosing of antimicrobial agents in renal impairment. I. Am J Hosp Pharm. 1974;31(1):36-52.</t>
  </si>
  <si>
    <t>Campbell IW, Hossack DJ, Munro JF. Absorption and urinary excretion of clindamycin palmitate in the elderly. Curr Med Res Opin. 1973;1(6):369-75.</t>
  </si>
  <si>
    <t>Forist AA, DeHaan RM, Metzler CM. Clindamycin bioavailability from clindamycin-2-palmitate and clindamycin-2-hexadecylcarbonate in man. J Pharmacokinet Biopharm. 1973;1(2):89-98.</t>
  </si>
  <si>
    <t>Fass RJ, Saslaw S. Clindamycin: clinical and laboratory evaluation of parenteral therapy. Am J Med Sci. 1972;263(5):368-82.</t>
  </si>
  <si>
    <t>DeHaan RM, Schellenberg D. Clindamycin palmitate flavored granules. Multidose tolerance, absorption, and urinary excretion study in healthy children. J Clin Pharmacol New Drugs. 1972;12(2):74-83.</t>
  </si>
  <si>
    <t>Novak E, Wagner JG, Lamb DJ. Local and systemic tolerance, absorption and excretion of clindamycin hydrochloride after intramuscular administration. Int Z Klin Pharmakol Ther Toxikol. 1970;3(3):201-8.</t>
  </si>
  <si>
    <t>McGehee RF, Jr., Smith CB, Wilcox C, Finland M. Comparative studies of antibacterial activity in vitro and absorption and excretion of lincomycin and clinimycin. American Journal of Medical Sciences. 1968;256(5):279-92.</t>
  </si>
  <si>
    <t>Wagner JG, Novak E, Patel NC, Chidester CG, Lummis WL. Absorption, excretion and half-life of clinimycin in normal adult males. Am J Med Sci. 1968;256(1):25-37.</t>
  </si>
  <si>
    <t>Scheuch E. Simultaneous Quantitative Analysis of Clarithromycin and Ranitidine, Probe Inhibitors of P-Glycoprotein and OCT1, to Evaluate Potential Pharmacokinetic Influence of Potential Transporter Substrates. Chromatographia. 2019;82(12):1749-58.</t>
  </si>
  <si>
    <t>Tan X, Song Z. Human saliva-based quantitative monitoring of clarithromycin by flow injection chemiluminescence analysis: a pharmacokinetic study. Appl Biochem Biotechnol. 2014;172(3):1320-31.</t>
  </si>
  <si>
    <t>Burkhardt O, Borner K, Stass H, Beyer G, Allewelt M, Nord CE, et al. Single- and multiple-dose pharmacokinetics of oral moxifloxacin and clarithromycin, and concentrations in serum, saliva and faeces. Scand J Infect Dis. 2002;34(12):898-903.</t>
  </si>
  <si>
    <t>Mainz D, Borner K, Koeppe P, Kotwas J, Lode H. Pharmacokinetics of lansoprazole, amoxicillin and clarithromycin after simultaneous and single administration. J Antimicrob Chemother. 2002;50(5):699-706.</t>
  </si>
  <si>
    <t>Fassbender M, Lode H, Schiller C, Andro R, Goetschi B, Borner K, et al. Comparative pharmacokinetics of macrolide antibiotics and concentrations achieved in polymorphonuclear leukocytes and saliva. Clin Microbiol Infect. 1996;1(4):235-43.</t>
  </si>
  <si>
    <t>Ishii K, Katayama Y, Itai S, Ito Y, Hayashi H. In vitro dissolution tests corresponding to the in vivo dissolution of clarithromycin tablets in the stomach and intestine. Chem Pharm Bull (Tokyo). 1995;43(11):1943-8.</t>
  </si>
  <si>
    <t>Chu SY, Granneman GR, Pichotta PJ, Decourt JP, Girault J, Fourtillan JB. Effect of moderate or severe hepatic impairment on clarithromycin pharmacokinetics. J Clin Pharmacol. 1993;33(5):480-5.</t>
  </si>
  <si>
    <t>Chu SY, Sennello LT, Bunnell ST, Varga LL, Wilson DS, Sonders RC. Pharmacokinetics of clarithromycin, a new macrolide, after single ascending oral doses. Antimicrob Agents Chemother. 1992;36(11):2447-53.</t>
  </si>
  <si>
    <t>Chu SY, Wilson DS, Guay DR, Craft C. Clarithromycin pharmacokinetics in healthy young and elderly volunteers. J Clin Pharmacol. 1992;32(11):1045-9.</t>
  </si>
  <si>
    <t>Davey PG. The pharmacokinetics of clarithromycin and its 14-OH metabolite. J Hosp Infect. 1991;19 Suppl A:29-37.</t>
  </si>
  <si>
    <t>Chu SY. Simultaneous Determination of clarithromycin and 14(R)-hydroxyclarithromycin in plasma and urine high-performance liquid-chromatography with electrochemical detection. Journal of Chromatography - Biomedical applications. 1991;571(1-2):199-208.</t>
  </si>
  <si>
    <t>Neu HC. The development of macrolides: clarithromycin in perspective. J Antimicrob Chemother. 1991;27 Suppl A:1-9.</t>
  </si>
  <si>
    <t>Ferrero JL, Bopp BA, Marsh KC, Quigley SC, Johnson MJ, Anderson DJ, et al. Metabolism and disposition of clarithromycin in man. Drug Metab Dispos. 1990;18(4):441-6.</t>
  </si>
  <si>
    <t>Iwai N, Taneda Y, Miyazu M, Nakamura H, Kasai K. [Basic and clinical studies on clarithromycin in pediatrics]. Jpn J Antibiot. 1989;42(2):304-22.</t>
  </si>
  <si>
    <t>Takeshita K, Yamagishi I, Harada M, Otomo S, Nakagawa T, Mizushima Y. Immunological and anti-inflammatory effects of clarithromycin: inhibition of interleukin 1 production of murine peritoneal macrophages. Drugs Exp Clin Res. 1989;15(11-12):527-33.</t>
  </si>
  <si>
    <t>Sturgill MG, Rapp RP. Clarithromycin: review of a new macrolide antibiotic with improved microbiologic spectrum and favorable pharmacokinetic and adverse effect profiles. Ann Pharmacother. 1992;26(9):1099-108.</t>
  </si>
  <si>
    <t>Kohno Y, Yoshida H, Suwa T, Suga T. Comparative pharmacokinetics of clarithromycin (TE-031), a new macrolide antibiotic, and erythromycin in rats. Antimicrob Agents Chemother. 1989;33(5):751-6.</t>
  </si>
  <si>
    <t>Beyer. Cipro XL. Beyer Inc.; 2020.</t>
  </si>
  <si>
    <t>Guzmán ML, Romañuk CB, Sanchez MF, Luciani Giacobbe LC, Alarcón-Ramirez LP, Battistini FD, et al. Urinary excretion of ciprofloxacin after administration of extended release tablets in healthy volunteers. Swellable drug-polyelectrolyte matrix versus bilayer tablets. Drug Deliv Transl Res. 2018;8(1):123-31.</t>
  </si>
  <si>
    <t>de Oliveira HL, da Silva Anacleto S, da Silva ATM, Pereira AC, de Souza Borges W, Figueiredo EC, et al. Molecularly imprinted pipette-tip solid phase extraction for selective determination of fluoroquinolones in human urine using HPLC-DAD. J Chromatogr B Analyt Technol Biomed Life Sci. 2016;1033-1034:27-39.</t>
  </si>
  <si>
    <t>Stoica MV, CE; Imre, S. Correlations between the stages of kidney disease and the pharmacokinetic parameters of orally administered ciprofloxacin at patients with chronic kidney disease. Farmicia. 2015;63(5):739-44.</t>
  </si>
  <si>
    <t>Landersdorfer CB, Kirkpatrick CMJ, Kinzig M, Bulitta JB, Holzgrabe U, Jaehde U, et al. Competitive inhibition of renal tubular secretion of ciprofloxacin and metabolite by probenecid. British Journal of Clinical Pharmacology. 2010;69(2):167-78.</t>
  </si>
  <si>
    <t>Rambla-Alegre M, Esteve-Romero J, Carda-Broch S. Validation of a MLC method with fluorescence detection for the determination of quinolones in urine samples by direct injection. J Chromatogr B Analyt Technol Biomed Life Sci. 2009;877(31):3975-81.</t>
  </si>
  <si>
    <t>How PP, Fischer JH, Arruda JA, Lau AH. Effects of lanthanum carbonate on the absorption and oral bioavailability of ciprofloxacin. Clin J Am Soc Nephrol. 2007;2(6):1235-40.</t>
  </si>
  <si>
    <t>Akinleye MO, Coker HA, Chukwuani CM, Adeoye AW. Effect of Five Alive fruit juice on the dissolution and absorption profiles of ciprofloxacin. Nig Q J Hosp Med. 2007;17(1):53-7.</t>
  </si>
  <si>
    <t>Wagenlehner FM, Kinzig-Schippers M, Sörgel F, Weidner W, Naber KG. Concentrations in plasma, urinary excretion and bactericidal activity of levofloxacin (500 mg) versus ciprofloxacin (500 mg) in healthy volunteers receiving a single oral dose. Int J Antimicrob Agents. 2006;28(6):551-9.</t>
  </si>
  <si>
    <t>Washington C, Hou E, Hughes N, Berner B. Effect of omeprazole on bioavailability of an oral extended-release formulation of ciprofloxacin. Am J Health Syst Pharm. 2006;63(7):653-6.</t>
  </si>
  <si>
    <t>Wagenlehner FM, Kinzig-Schippers M, Tischmeyer U, Wagenlehner C, Sörgel F, Dalhoff A, et al. Pharmacokinetics of ciprofloxacin XR (1000 mg) versus levofloxacin (500 mg) in plasma and urine of male and female healthy volunteers receiving a single oral dose. Int J Antimicrob Agents. 2006;27(1):7-14.</t>
  </si>
  <si>
    <t>Washington CB, Hou SY, Campanella C, Hughes N, Brown S, Berner B. Pharmacokinetics and pharmacodynamics of a novel extended-release ciprofloxacin in healthy volunteers. J Clin Pharmacol. 2005;45(11):1236-44.</t>
  </si>
  <si>
    <t>Overholser BR, Kays MB, Forrest A, Sowinski KM. Sex-related differences in the pharmacokinetics of oral ciprofloxacin. J Clin Pharmacol. 2004;44(9):1012-22.</t>
  </si>
  <si>
    <t>Boy D, Well M, Kinzig-Schippers M, Sörgel F, Ankel-Fuchs D, Naber KG. Urinary bactericidal activity, urinary excretion and plasma concentrations of gatifloxacin (400 mg) versus ciprofloxacin (500 mg) in healthy volunteers after a single oral dose. Int J Antimicrob Agents. 2004;23 Suppl 1:S6-16.</t>
  </si>
  <si>
    <t>Wagenlehner FM, Wydra S, Onda H, Kinzig-Schippers M, Sörgel F, Naber KG. Concentrations in plasma, urinary excretion, and bactericidal activity of linezolid (600 milligrams) versus those of ciprofloxacin (500 milligrams) in healthy volunteers receiving a single oral dose. Antimicrob Agents Chemother. 2003;47(12):3789-94.</t>
  </si>
  <si>
    <t>Kim MK, Nightingale C, Nicolau D. Influence of sex on the pharmacokinetic interaction of fleroxacin and ciprofloxacin with caffeine. Clin Pharmacokinet. 2003;42(11):985-96.</t>
  </si>
  <si>
    <t>Sambatakou H, Giamarellos-Bourboulis EJ, Galanakis N, Giamarellou H. Pharmacokinetics of fluoroquinolones in uncompensated cirrhosis: the significance of penetration in the ascitic fluid. Int J Antimicrob Agents. 2001;18(5):441-4.</t>
  </si>
  <si>
    <t>Lubasch A, Keller I, Borner K, Koeppe P, Lode H. Comparative pharmacokinetics of ciprofloxacin, gatifloxacin, grepafloxacin, levofloxacin, trovafloxacin, and moxifloxacin after single oral administration in healthy volunteers. Antimicrob Agents Chemother. 2000;44(10):2600-3.</t>
  </si>
  <si>
    <t>Chukwuani CM, Coker HA, Oduola AM, Sowunmi A, Ifudu ND. Bioavailability of ciprofloxacin and fleroxacin: results of a preliminary investigation in healthy adult Nigerian male volunteers. Biol Pharm Bull. 2000;23(8):968-72.</t>
  </si>
  <si>
    <t>Wright DH, Brown GH, Peterson ML, Rotschafer JC. Application of fluoroquinolone pharmacodynamics. Journal of Antimicrobial Chemotherapy. 2000;46(5):669- 83</t>
  </si>
  <si>
    <t>Bertek. Zagam prescribing information. Bertek Pharmaceuticals; 1998.</t>
  </si>
  <si>
    <t>Naber KG, Theuretzbacher U, Moneva-Koucheva G, Stass H. Urinary excretion and bactericidal activity of intravenous ciprofloxacin compared with oral ciprofloxacin. Eur J Clin Microbiol Infect Dis. 1999;18(11):783-9.</t>
  </si>
  <si>
    <t>Lesne-Hulin A, Bourget P, Ravat F, Goudin C, Latarjet J. Clinical pharmacokinetics of ciprofloxacin in patients with major burns. Eur J Clin Pharmacol. 1999;55(7):515-9.</t>
  </si>
  <si>
    <t>Kamberi M, Tsutsumi K, Kotegawa T, Kawano K, Nakamura K, Niki Y, et al. Influences of urinary pH on ciprofloxacin pharmacokinetics in humans and antimicrobial activity in vitro versus those of sparfloxacin. Antimicrob Agents Chemother. 1999;43(3):525-9.</t>
  </si>
  <si>
    <t>Chukwuani CM, Coker HA, Oduola AM, Ifudu ND, Sowunmi A. Single-dose pharmacokinetic study of ciprofloxacin and fleroxacin in healthy adult Nigerian volunteers. Chemotherapy. 1998;44(6):369-76.</t>
  </si>
  <si>
    <t>Well M, Naber KG, Kinzig-Schippers M, Sörgel F. Urinary bactericidal activity and pharmacokinetics of enoxacin versus norfloxacin and ciprofloxacin in healthy volunteers after a single oral dose. Int J Antimicrob Agents. 1998;10(1):31-8.</t>
  </si>
  <si>
    <t>Krueger WA, Ruckdeschel G, Unertl K. Influence of intravenously administered ciprofloxacin on aerobic intestinal microflora and fecal drug levels when administered simultaneously with sucralfate. Antimicrob Agents Chemother. 1997;41(8):1725-30.</t>
  </si>
  <si>
    <t>Rao VV, Rambhau D, Rao BR, Srinivasu P. Circadian variation in urinary excretion of ciprofloxacin after a single-dose oral administration at 1000 and 2200 hours in human subjects. Antimicrob Agents Chemother. 1997;41(8):1802-4.</t>
  </si>
  <si>
    <t>Knupp CA, Barbhaiya RH. A multiple-dose pharmacokinetic interaction study between didanosine (Videx) and ciprofloxacin (Cipro) in male subjects seropositive for HIV but asymptomatic. Biopharm Drug Dispos. 1997;18(1):65-77.</t>
  </si>
  <si>
    <t>Garrelts JC, Jost G, Kowalsky SF, Krol GJ, Lettieri JT. Ciprofloxacin pharmacokinetics in burn patients. Antimicrob Agents Chemother. 1996;40(5):1153-6.</t>
  </si>
  <si>
    <t>Schaefer HG, Stass H, Wedgwood J, Hampel B, Fischer C, Kuhlmann J, et al. Pharmacokinetics of ciprofloxacin in pediatric cystic fibrosis patients. Antimicrob Agents Chemother. 1996;40(1):29-34.</t>
  </si>
  <si>
    <t>Shi Y. Pharmacokinetic study of ofloxacin and ciprofloxacin in the elderly. Zhongguo Kangshengsu Zazhi. 1996;21(2):133-8.</t>
  </si>
  <si>
    <t>Jaehde U, Sörgel F, Reiter A, Sigl G, Naber KG, Schunack W. Effect of probenecid on the distribution and elimination of ciprofloxacin in humans. Clin Pharmacol Ther. 1995;58(5):532-41.</t>
  </si>
  <si>
    <t>Hong Z, Wang Y, Xu N, Zhang H, Liang D. [Pharmacokinetics of ciprofloxacin injection in healthy volunteers]. Hua Xi Yi Ke Da Xue Xue Bao. 1995;26(3):315-8.</t>
  </si>
  <si>
    <t>Stuht H, Lode H, Koeppe P, Rost KL, Schaberg T. Interaction study of lomefloxacin and ciprofloxacin with omeprazole and comparative pharmacokinetics. Antimicrob Agents Chemother. 1995;39(5):1045-9.</t>
  </si>
  <si>
    <t>Kamali F. Lack of a pharmacokinetic interaction between ciprofloxacin and fenbufen. Journal of Clinical Pharmacy and Therapeutics. 1994;19(4):257-9.</t>
  </si>
  <si>
    <t>Navarro AS, Cabarga MM, Hurlé AD. Comparative study of the influence of Ca2+ on absorption parameters of ciprofloxacin and ofloxacin. J Antimicrob Chemother. 1994;34(1):119-25.</t>
  </si>
  <si>
    <t>Shah A, Lettieri J, Kaiser L, Echols R, Heller AH. Comparative pharmacokinetics and safety of ciprofloxacin 400 mg i.v. thrice daily versus 750 mg po twice daily. J Antimicrob Chemother. 1994;33(4):795-801.</t>
  </si>
  <si>
    <t>Lehto P, Kivisto K, Neuvonen P. The effect of ferrous sulphate on the absorption of norfloxacin, ciprofloxacin and ofloxacin. British Journal of Clinical Pharmacology. 1994;37(1):82-5.</t>
  </si>
  <si>
    <t>Catchpole C, Andrews JM, Woodcock J, Wise R. The comparative pharmacokinetics and tissue penetration of single-dose ciprofloxacin 400 mg i.v. and 750 mg po. J Antimicrob Chemother. 1994;33(1):103-10.</t>
  </si>
  <si>
    <t>Allard S, Kinzig M, Boivin G, Sörgel F, LeBel M. Intravenous ciprofloxacin disposition in obesity. Clin Pharmacol Ther. 1993;54(4):368-73.</t>
  </si>
  <si>
    <t>Liang D, Qin Y, Xu N, Zhang H, Li J. [Pharmacokinetics of ciprofloxacin in young healthy volunteers]. Hua Xi Yi Ke Da Xue Xue Bao. 1993;24(3):306-8.</t>
  </si>
  <si>
    <t>Israel D, Gillum JG, Turik M, Harvey K, Ford J, Dalton H, et al. Pharmacokinetics and serum bactericidal titers of ciprofloxacin and ofloxacin following multiple oral doses in healthy volunteers. Antimicrob Agents Chemother. 1993;37(10):2193-9.</t>
  </si>
  <si>
    <t>Paradis D, Vallée F, Allard S, Bisson C, Daviau N, Drapeau C, et al. Comparative study of pharmacokinetics and serum bactericidal activities of cefpirome, ceftazidime, ceftriaxone, imipenem, and ciprofloxacin. Antimicrob Agents Chemother. 1992;36(10):2085-92.</t>
  </si>
  <si>
    <t>Lettieri JT, Rogge MC, Kaiser L, Echols RM, Heller AH. Pharmacokinetic profiles of ciprofloxacin after single intravenous and oral doses. Antimicrob Agents Chemother. 1992;36(5):993-6.</t>
  </si>
  <si>
    <t>Frost RW, Lasseter KC, Noe AJ, Shamblen EC, Lettieri JT. Effects of aluminum hydroxide and calcium carbonate antacids on the bioavailability of ciprofloxacin. Antimicrob Agents Chemother. 1992;36(4):830-2.</t>
  </si>
  <si>
    <t>Kees F, Raasch W, Grobecker H. [Structural characterization of an unknown metabolite of ciprofloxacin]. Arzneimittelforschung. 1992;42(4):570-5.</t>
  </si>
  <si>
    <t>Suthakaran C, Adithan C, Rajaram S, Shashindran C, Tripathi K, Gandhi I. Pharmacokinetics of ciprofloxacin - limitation to salivary and urinary sampling. Indian Journal of Pharmacology. 1992;24(1):25-8.</t>
  </si>
  <si>
    <t>Christensson BA, Nilsson-Ehle I, Ljungberg B, Lindblad A, Malmborg AS, Hjelte L, et al. Increased oral bioavailability of ciprofloxacin in cystic fibrosis patients. Antimicrob Agents Chemother. 1992;36(11):2512-7.</t>
  </si>
  <si>
    <t>Neuvonen PJ, Kivistö KT, Lehto P. Interference of dairy products with the absorption of ciprofloxacin. Clin Pharmacol Ther. 1991;50(5 Pt 1):498-502.</t>
  </si>
  <si>
    <t>Fang GD, Brennen C, Wagener M, Swanson D, Hilf M, Zadecky L, et al. Use of ciprofloxacin versus use of aminoglycosides for therapy of complicated urinary tract infection: prospective, randomized clinical and pharmacokinetic study. Antimicrob Agents Chemother. 1991;35(9):1849-55.</t>
  </si>
  <si>
    <t>Ruhnke M, Trautmann M, Borner K, Hopfenmüller W. Pharmacokinetics of ciprofloxacin in liver cirrhosis. Chemotherapy. 1990;36(6):385-91.</t>
  </si>
  <si>
    <t>Brouwers JR, Van der Kam HJ, Sijtsma J, Proost JH. Decreased ciprofloxacin absorption with concomitant administration of ferrous fumarate. Pharm Weekbl Sci. 1990;12(5):182-3.</t>
  </si>
  <si>
    <t>Harder S, Fuhr U, Beermann D, Staib AH. Ciprofloxacin absorption in different regions of the human gastrointestinal tract. Investigations with the hf-capsule. Br J Clin Pharmacol. 1990;30(1):35-9.</t>
  </si>
  <si>
    <t>Urso R. PLASMA AND URINE PHARMACOKINETICS OF CIPROFLOXACIN IN MAN AFTER SINGLE ORAL-ADMINISTRATION. European Journal of Pharmacology. 1990;183(5):1860-1.</t>
  </si>
  <si>
    <t>Barriere SL, Catlin DH, Orlando PL, Noe A, Frost RW. Alteration in the pharmacokinetic disposition of ciprofloxacin by simultaneous administration of azlocillin. Antimicrob Agents Chemother. 1990;34(5):823-6.</t>
  </si>
  <si>
    <t>Rohwedder R, Bergan T, Thorsteinsson SB, Scholl H. Transintestinal elimination of ciprofloxacin. Chemotherapy. 1990;36(2):77-84.</t>
  </si>
  <si>
    <t>Deppermann KM, Boeckh M, Grineisen S, Shokry F, Borner K, Koeppe P, et al. Combination effects of ciprofloxacin, clindamycin, and metronidazole intravenously in volunteers. Am J Med. 1989;87(5a):46s-8s.</t>
  </si>
  <si>
    <t>Staib AH, Beermann D, Harder S, Fuhr U, Liermann D. Absorption differences of ciprofloxacin along the human gastrointestinal tract determined using a remote- control drug delivery device (HF-capsule). Am J Med. 1989;87(5a):66s-9s.</t>
  </si>
  <si>
    <t>Polk RE, Healy DP, Sahai J, Drwal L, Racht E. Effect of ferrous sulfate and multivitamins with zinc on absorption of ciprofloxacin in normal volunteers. Antimicrob Agents Chemother. 1989;33(11):1841-4.</t>
  </si>
  <si>
    <t>Bergan T, Thorsteinsson SB, Rohwedder R, Scholl H. Elimination of ciprofloxacin and three major metabolites and consequences of reduced renal function. Chemotherapy. 1989;35(6):393-405.</t>
  </si>
  <si>
    <t>Ljungberg B, Nilsson-Ehle I. Pharmacokinetics of ciprofloxacin in the elderly: increased oral bioavailability and reduced renal clearance. Eur J Clin Microbiol Infect Dis. 1989;8(6):515-20.</t>
  </si>
  <si>
    <t>Dharmasena D, Roberts DE, Coles GA, Williams JD. Pharmacokinetics of intraperitoneal ciprofloxacin in patients on CAPD. J Antimicrob Chemother. 1989;23(2):253-9.</t>
  </si>
  <si>
    <t>Nix DE, Watson WA, Lener ME, Frost RW, Krol G, Goldstein H, et al. Effects of aluminum and magnesium antacids and ranitidine on the absorption of ciprofloxacin. Clin Pharmacol Ther. 1989;46(6):700-5.</t>
  </si>
  <si>
    <t>Ljungberg B, Nilsson-Ehle I. Pharmacokinetics of intravenous ciprofloxacin at three different doses. J Antimicrob Chemother. 1988;22(5):715-20.</t>
  </si>
  <si>
    <t>Lode H, Höffken G, Olschewski P, Sievers B, Kirch A, Borner K, et al. Comparative pharmacokinetics of intravenous ofloxacin and ciprofloxacin. J Antimicrob Chemother. 1988;22 Suppl C:73-9.</t>
  </si>
  <si>
    <t>Reed MD, Stern RC, Myers CM, Yamashita TS, PhD JLB. Lack of Unique Ciprofloxacin Pharmacokinetic Characteristics in Patients with Cystic Fibrosis. The Journal of Clinical Pharmacology. 1988;28(8):691-9.</t>
  </si>
  <si>
    <t>Brogard JM, Jehl F, Blickle JF, Arnaud JP, Monteil H. [The role of ciprofloxacine metabolites in its biliary and urinary elimination in man]. Pathol Biol (Paris). 1988;36(5 Pt 2):719-23.</t>
  </si>
  <si>
    <t>Zeiler HJ, Beermann D, Wingender W, Förster D, Schacht P. Bactericidal activity of ciprofloxacin, norfloxacin and ofloxacin in serum and urine after oral administration to healthy volunteers. Infection. 1988;16 Suppl 1:S19-23.</t>
  </si>
  <si>
    <t>Parry MF, Smego DA, Digiovanni MA. Hepatobiliary kinetics and excretion of ciprofloxacin. Antimicrob Agents Chemother. 1988;32(7):982-5.</t>
  </si>
  <si>
    <t>Watson W. Effects of antacid on urinary ciprofloxacin and metabolite recovery. Journal of Pharmaceutical Sciences. 1987;76(11):S120.</t>
  </si>
  <si>
    <t>Davis RL, Koup JR, Williams-Warren J, Weber A, Heggen L, Stempel D, et al. Pharmacokinetics of ciprofloxacin in cystic fibrosis. Antimicrobial Agents and Chemotherapy. 1987;31(6):915-9.</t>
  </si>
  <si>
    <t>Gasser TC, Ebert SC, Graversen PH, Madsen PO. Ciprofloxacin pharmacokinetics in patients with normal and impaired renal function. Antimicrob Agents Chemother. 1987;31(5):709-12.</t>
  </si>
  <si>
    <t>Bergan T, Thorsteinsson SB, Solberg R, Bjornskau L, Kolstad IM, Johnsen S. Pharmacokinetics of ciprofloxacin: intravenous and increasing oral doses. Am J Med. 1987;82(4a):97-102.</t>
  </si>
  <si>
    <t>Guay D, Tack K, Flor S. Safety and pharmacokinetics of single dose intravenous ofloxacin in healthy volunteers. Int J Clin Pharmacol Res. 1991;11(5):203-9.</t>
  </si>
  <si>
    <t>Drusano GL. An overview of the pharmacology of intravenously administered ciprofloxacin. Am J Med. 1987;82(4a):339-45.</t>
  </si>
  <si>
    <t>Dudley MN, Mandler HD, Gilbert D, Ericson J, Mayer KH, Zinner SH. Pharmacokinetics and pharmacodynamics of intravenous ciprofloxacin. Studies in vivo and in an in vitro dynamic model. Am J Med. 1987;82(4a):363-8.</t>
  </si>
  <si>
    <t>Jehl F, Adloff M, Monteil H, Brogard JM. Ciprofloxacin biliary disposition in cholecystectomised patients with special references to HPLC and bioassay data. Eur J Drug Metab Pharmacokinet. 1987;12(2):115-22.</t>
  </si>
  <si>
    <t>Singlas E, Taburet AM, Landru I, Albin H, Ryckelinck JP. Pharmacokinetics of ciprofloxacin tablets in renal failure; influence of haemodialysis. Eur J Clin Pharmacol. 1987;31(5):589-93.</t>
  </si>
  <si>
    <t>Fraschini F, Braga PC, Cosentina R, Salvini P, Cortelazzi R, Scarpazza G, et al. Ciprofloxacin: multiple-dose pharmacokinetic and clinical results in patients with hypercrinic bronchopulmonary diseases. Int J Clin Pharmacol Res. 1987;7(1):63-71.</t>
  </si>
  <si>
    <t>Bayer A, Gajewska A, Stephens M, Stark JM, Pathy J. Pharmacokinetics of ciprofloxacin in the elderly. Respiration. 1987;51(4):292-5.</t>
  </si>
  <si>
    <t>Drusano GL, Plaisance KI, Forrest A, Standiford HC. Dose ranging study and constant infusion evaluation of ciprofloxacin. Antimicrob Agents Chemother. 1986;30(3):440-3.</t>
  </si>
  <si>
    <t>Drusano GL, Standiford HC, Plaisance K, Forrest A, Leslie J, Caldwell J. Absolute oral bioavailability of ciprofloxacin. Antimicrob Agents Chemother. 1986;30(3):444- 6</t>
  </si>
  <si>
    <t>Ball AP, Fox C, Ball ME, Brown IR, Willis JV. Pharmacokinetics of oral ciprofloxacin, 100 mg single dose, in volunteers and elderly patients. J Antimicrob Chemother. 1986;17(5):629-35.</t>
  </si>
  <si>
    <t>Borner K, Höffken G, Lode H, Koeppe P, Prinzing C, Glatzel P, et al. Pharmacokinetics of ciprofloxacin in healthy volunteers after oral and intravenous administration. Eur J Clin Microbiol. 1986;5(2):179-86.</t>
  </si>
  <si>
    <t>Bergan T, Thorsteinsson SB, Kolstad IM, Johnsen S. Pharmacokinetics of ciprofloxacin after intravenous and increasing oral doses. Eur J Clin Microbiol. 1986;5(2):187-92.</t>
  </si>
  <si>
    <t>Goldfarb J, Wormser GP, Inchiosa MA, Jr., Guideri G, Diaz M, Gandhi R, et al. Single-dose pharmacokinetics of oral ciprofloxacin in patients with cystic fibrosis. J Clin Pharmacol. 1986;26(3):222-6.</t>
  </si>
  <si>
    <t>Bergan T, Delin C, Johansen S, Kolstad IM, Nord CE, Thorsteinsson SB. Pharmacokinetics of ciprofloxacin and effect of repeated dosage on salivary and fecal microflora. Antimicrob Agents Chemother. 1986;29(2):298-302.</t>
  </si>
  <si>
    <t>Tartaglione TA, Raffalovich AC, Poynor WJ, Espinel-Ingroff A, Kerkering TM. Pharmacokinetics and tolerance of ciprofloxacin after sequential increasing oral doses. Antimicrob Agents Chemother. 1986;29(1):62-6.</t>
  </si>
  <si>
    <t>Bender SW, Dalhoff A, Shah PM, Strehl R, Posselt HG. Ciprofloxacin pharmacokinetics in patients with cystic fibrosis. Infection. 1986;14(1):17-21.</t>
  </si>
  <si>
    <t>Wise R, Lister D, McNulty CA, Griggs D, Andrews JM. The comparative pharmacokinetics and tissue penetration of four quinolones including intravenously administered enoxacin. Infection. 1986;14 Suppl 3:S196-202.</t>
  </si>
  <si>
    <t>Davis RL, Koup JR, Williams-Warren J, Weber A, Smith AL. Pharmacokinetics of three oral formulations of ciprofloxacin. Antimicrob Agents Chemother. 1985;28(1):74-7.</t>
  </si>
  <si>
    <t>Boelaert J, Valcke Y, Schurgers M, Daneels R, Rosseneu M, Rosseel MT, et al. The pharmacokinetics of ciprofloxacin in patients with impaired renal function. J Antimicrob Chemother. 1985;16(1):87-93.</t>
  </si>
  <si>
    <t>Brogard JM, Jehl F, Arnaud JP, Lévy P, Peladan F, Blicklé JF, et al. [Ciprofloxacine: evaluation of its biliary elimination in man]. Schweiz Med Wochenschr. 1985;115(13):448-53.</t>
  </si>
  <si>
    <t>Ledergerber B, Bettex JD, Joos B, Flepp M, Lüthy R. Effect of standard breakfast on drug absorption and multiple-dose pharmacokinetics of ciprofloxacin. Antimicrob Agents Chemother. 1985;27(3):350-2.</t>
  </si>
  <si>
    <t>Höffken G, Lode H, Prinzing C, Borner K, Koeppe P. Pharmacokinetics of ciprofloxacin after oral and parenteral administration. Antimicrob Agents Chemother. 1985;27(3):375-9.</t>
  </si>
  <si>
    <t>Brittain DC, Scully BE, McElrath MJ, Steinman R, Labthavikul P, Neu HC. The pharmacokinetics and serum and urine bactericidal activity of ciprofloxacin. J Clin Pharmacol. 1985;25(2):82-8.</t>
  </si>
  <si>
    <t>Gonzalez MA, Uribe F, Moisen SD, Fuster AP, Selen A, Welling PG, et al. Multiple-dose pharmacokinetics and safety of ciprofloxacin in normal volunteers. Antimicrob Agents Chemother. 1984;26(5):741-4.</t>
  </si>
  <si>
    <t>Brumfitt W, Franklin I, Grady D, Hamilton-Miller JM, Iliffe A. Changes in the pharmacokinetics of ciprofloxacin and fecal flora during administration of a 7-day course to human volunteers. Antimicrob Agents Chemother. 1984;26(5):757-61.</t>
  </si>
  <si>
    <t>Wise R, Lockley RM, Webberly M, Dent J. Pharmacokinetics of intravenously administered ciprofloxacin. Antimicrob Agents Chemother. 1984;26(2):208-10.</t>
  </si>
  <si>
    <t>Wingender W, Graefe KH, Gau W, Förster D, Beermann D, Schacht P. Pharmacokinetics of ciprofloxacin after oral and intravenous administration in healthy volunteers. Eur J Clin Microbiol. 1984;3(4):355-9.</t>
  </si>
  <si>
    <t>Höffler D, Dalhoff A, Gau W, Beermann D, Michl A. Dose- and sex-independent disposition of ciprofloxacin. Eur J Clin Microbiol. 1984;3(4):363-6.</t>
  </si>
  <si>
    <t>Crump B, Wise R, Dent J. Pharmacokinetics and tissue penetration of ciprofloxacin. Antimicrob Agents Chemother. 1983;24(5):784-6.</t>
  </si>
  <si>
    <t>Cao G, Zhang J, Wu X, Yu J, Chen Y, Ye X, et al. Pharmacokinetics and pharmacodynamics of levofloxacin injection in healthy Chinese volunteers and dosing regimen optimization. J Clin Pharm Ther. 2013;38(5):394-400.</t>
  </si>
  <si>
    <t>Cao G, Zhang J. Absolute bioavailability of levofloxacin tablet in healthy Chinese male subjects. Zhongguo Kangshengsu Zazhi. 2010;35(1):49-53.</t>
  </si>
  <si>
    <t>Zhang J, Yu JC, Shi YG, Zhou L, Ye XY, Zhu DM, et al. [Study of pharmacokinetics/pharmacodynamics of levofloxacin]. Zhonghua Yi Xue Za Zhi. 2005;85(27):1926-32.</t>
  </si>
  <si>
    <t>Pea F, Pavan F, Di Qual E, Brollo L, Nascimben E, Baldassarre M, et al. Urinary pharmacokinetics and theoretical pharmacodynamics of intravenous levofloxacin in intensive care unit patients treated with 500 mg b.i.d. for ventilator-associated pneumonia. J Chemother. 2003;15(6):563-7.</t>
  </si>
  <si>
    <t>Pea F, Di Qual E, Cusenza A, Brollo L, Baldassarre M, Furlanut M. Pharmacokinetics and pharmacodynamics of intravenous levofloxacin in patients with early-onset ventilator-associated pneumonia. Clin Pharmacokinet. 2003;42(6):589-98.</t>
  </si>
  <si>
    <t>Naber CK, Hammer M, Kinzig-Schippers M, Sauber C, Sörgel F, Bygate EA, et al. Urinary excretion and bactericidal activities of gemifloxacin and ofloxacin after a single oral dose in healthy volunteers. Antimicrob Agents Chemother. 2001;45(12):3524-30.</t>
  </si>
  <si>
    <t>Bayer. Avelox prescribing information. Bayer Corporation; 1999.</t>
  </si>
  <si>
    <t>Guibert J, Kitzis MD, Acar JF. [Antibacterial activity of ofloxacin in urine for 4 days after a single oral dose of 400 mg]. Pathol Biol (Paris). 1998;46(8):656-60.</t>
  </si>
  <si>
    <t>Chien SC, Wong FA, Fowler CL, Callery-D'Amico SV, Williams RR, Nayak R, et al. Double-blind evaluation of the safety and pharmacokinetics of multiple oral once- daily 750-milligram and 1-gram doses of levofloxacin in healthy volunteers. Antimicrob Agents Chemother. 1998;42(4):885-8.</t>
  </si>
  <si>
    <t>Lee LJ, Hafkin B, Lee ID, Hoh J, Dix R. Effects of food and sucralfate on a single oral dose of 500 milligrams of levofloxacin in healthy subjects. Antimicrob Agents Chemother. 1997;41(10):2196-200.</t>
  </si>
  <si>
    <t>Chien SC, Rogge MC, Gisclon LG, Curtin C, Wong F, Natarajan J, et al. Pharmacokinetic profile of levofloxacin following once-daily 500-milligram oral or intravenous doses. Antimicrob Agents Chemother. 1997;41(10):2256-60.</t>
  </si>
  <si>
    <t>Chien SC, Chow AT, Natarajan J, Williams RR, Wong FA, Rogge MC, et al. Absence of age and gender effects on the pharmacokinetics of a single 500-milligram oral dose of levofloxacin in healthy subjects. Antimicrob Agents Chemother. 1997;41(7):1562-5.</t>
  </si>
  <si>
    <t>Verho M, Malerczyk V, Damm D, Lehr KH. Pharmacokinetics of levofloxacin in comparison to the racemic mixture of ofloxacin in man. Drug Metabol Drug Interact. 1996;13(1):57-67.</t>
  </si>
  <si>
    <t>Li KS, C. Pharmacokinetics of multiple-dose oral levofloxacin in healthy volunteers. Zhongguo Kangshengsu Zazhi. 1996;21(4):277-80.</t>
  </si>
  <si>
    <t>Child J, Mortiboy D, Andrews JM, Chow AT, Wise R. Open-label crossover study to determine pharmacokinetics and penetration of two dose regimens of levofloxacin into inflammatory fluid. Antimicrob Agents Chemother. 1995;39(12):2749-51.</t>
  </si>
  <si>
    <t>Sun CL, K. Pharmacokinetics of ofloxacin injection in healthy volunteers. Zhongguo Kangshengsu Zazhi. 1995;20(1):59-62.</t>
  </si>
  <si>
    <t>Goodwin SD, Gallis HA, Chow AT, Wong FA, Flor SC, Bartlett JA. Pharmacokinetics and safety of levofloxacin in patients with human immunodeficiency virus infection. Antimicrob Agents Chemother. 1994;38(4):799-804.</t>
  </si>
  <si>
    <t>Lehto P, Kivistö KT. Effect of sucralfate on absorption of norfloxacin and ofloxacin. Antimicrob Agents Chemother. 1994;38(2):248-51.</t>
  </si>
  <si>
    <t>Hasegawa T, Yamaki K, Nadai M, Muraoka I, Wang L, Takagi K, et al. Lack of effect of Chinese medicines on bioavailability of ofloxacin in healthy volunteers. Int J Clin Pharmacol Ther. 1994;32(2):57-61.</t>
  </si>
  <si>
    <t>Zhang JZ, Y. Pharmacokinetics study on three fluoroquinolones. Chinese Journal of Antibiotics. 1993;18(5):334-7.</t>
  </si>
  <si>
    <t>Borrmann L, Tang-Liu DD, Kann J, Nista J, Lin ET, Frank J. Ofloxacin in human serum, urine, and tear film after topical application. Cornea. 1992;11(3):226-30.</t>
  </si>
  <si>
    <t>Neuvonen PJ, Kivistö KT. Milk and yoghurt do not impair the absorption of ofloxacin. Br J Clin Pharmacol. 1992;33(3):346-8.</t>
  </si>
  <si>
    <t>Orlando R, Sawadogo A, Miglioli PA, Cappellazzo MG, Palatini P. Oral disposition kinetics of ofloxacin in patients with compensated liver cirrhosis. Chemotherapy. 1992;38(1):1-6.</t>
  </si>
  <si>
    <t>Marchbanks CR, Dudley MN, Flor S, Beals B. Pharmacokinetics and safety of single rising doses of ofloxacin in healthy volunteers. Pharmacotherapy. 1992;12(1):45- 9</t>
  </si>
  <si>
    <t>Nakashima M, Uematsu T, Kanamaru M, Okazaki O, Hakusui H. Phase I Study of Levofloxacin, (&lt;i&gt;S&lt;/i&gt;)-(-)-Ofloxacin. ????. 1992;23(2):515-20.</t>
  </si>
  <si>
    <t>Lameire N, Rosenkranz B, Malerczyk V, Lehr KH, Veys N, Ringoir S. Ofloxacin pharmacokinetics in chronic renal failure and dialysis. Clin Pharmacokinet. 1991;21(5):357-71.</t>
  </si>
  <si>
    <t>Cabarga MM, Navarro AS, Gandarillas CIC, Domínguez-Gil A. Effects of two cations on gastrointestinal absorption of ofloxacin. Antimicrob Agents Chemother. 1991;35(10):2102-5.</t>
  </si>
  <si>
    <t>Okazaki O, Kojima C, Hakusui H, Nakashima M. Enantioselective disposition of ofloxacin in humans. Antimicrob Agents Chemother. 1991;35(10):2106-9.</t>
  </si>
  <si>
    <t>Flor S, Guay D, Opsahl J, Tack K, Matzke G. Pharmacokinetics of ofloxacin in healthy subjects and patients with varying degrees of renal impairment. Int J Clin Pharmacol Res. 1991;11(3):115-21.</t>
  </si>
  <si>
    <t>Wong FA, Flor SC. The metabolism of ofloxacin in humans. Drug Metab Dispos. 1990;18(6):1103-4.</t>
  </si>
  <si>
    <t>Bandai H, Tsubakihara Y, Yamato E, Yokoyama K, Okada N, Nakanishi I, et al. Pharmacokinetics of ofloxacin in severe chronic renal failure. Clin Ther. 1989;11(2):210-8.</t>
  </si>
  <si>
    <t>Farinotti R, Trouvin JH, Bocquet V, Vermerie N, Carbon C. Pharmacokinetics of ofloxacin after single and multiple intravenous infusions in healthy subjects. Antimicrob Agents Chemother. 1988;32(10):1590-2.</t>
  </si>
  <si>
    <t>Leigh DA, Walsh B, Harris K, Hancock P, Travers G. Pharmacokinetics of ofloxacin and the effect on the faecal flora of healthy volunteers. J Antimicrob Chemother. 1988;22 Suppl C:115-25.</t>
  </si>
  <si>
    <t>Verho M, Malerczyk V, Grötsch H, Lorenz H. Absence of crystalluria and estimation of renal parameters after oral and intravenous ofloxacin as compared to placebo in healthy volunteers. Drugs Exp Clin Res. 1988;14(8):539-45.</t>
  </si>
  <si>
    <t>Pedersen SS, Jensen T, Hvidberg EF. Comparative pharmacokinetics of ciprofloxacin and ofloxacin in cystic fibrosis patients. J Antimicrob Chemother. 1987;20(4):575-83.</t>
  </si>
  <si>
    <t>Lode H, Höffken G, Olschewski P, Sievers B, Kirch A, Borner K, et al. Pharmacokinetics of ofloxacin after parenteral and oral administration. Antimicrob Agents Chemother. 1987;31(9):1338-42.</t>
  </si>
  <si>
    <t>Fillastre JP, Leroy A, Humbert G. Ofloxacin pharmacokinetics in renal failure. Antimicrob Agents Chemother. 1987;31(2):156-60.</t>
  </si>
  <si>
    <t>Naber KG, Adam D, Kees F. In vitro activity and concentrations in serum, urine, prostatic secretion and adenoma tissue of ofloxacin in urological patients. Drugs. 1987;34 Suppl 1:44-50.</t>
  </si>
  <si>
    <t>Höffler D, Koeppe P. Pharmacokinetics of ofloxacin in healthy subjects and patients with impaired renal function. Drugs. 1987;34 Suppl 1:51-5.</t>
  </si>
  <si>
    <t>Wise R, Lister D, McNulty CA, Griggs D, Andrews JM. The comparative pharmacokinetics of five quinolones. J Antimicrob Chemother. 1986;18 Suppl D:71-81.</t>
  </si>
  <si>
    <t>Verho M, Malerczyk V, Dagrosa E, Korn A. The effect of food on the pharmacokinetics of ofloxacin. Curr Med Res Opin. 1986;10(3):166-71.</t>
  </si>
  <si>
    <t>Verho M, Malerczyk V, Dagrosa E, Korn A. Dose linearity and other pharmacokinetics of ofloxacin: a new, broad-spectrum antimicrobial agent. Pharmatherapeutica. 1985;4(6):376-82.</t>
  </si>
  <si>
    <t>Vulterini S, Bologna E, Campo E, Fostini R. Ofloxacin: clinical and pharmacokinetic study in health and disease (preliminary data). Recent advances in chemotherapy Proceedings of the 14th International Congress of Chemotherapy; Kyoto1985. p. 1791-2.</t>
  </si>
  <si>
    <t>Arosio EM, G; Zannoni, M; Lechi, A; Fostini, R. Pharmacokinetics of ofloxacin in normal subjects and in patients with mild to moderate renal insufficiency. Recent Advances in Chemotherapy Proceedings of the 14th International Congress of Chemotherapy; Kyoto1985. p. 1789-90.</t>
  </si>
  <si>
    <t>Lockley MR, Wise R, Dent J. The pharmacokinetics and tissue penetration of ofloxacin. J Antimicrob Chemother. 1984;14(6):647-52.</t>
  </si>
  <si>
    <t>Ichihara. Phase I study on DL-8280. Chemotherapy. 1984;32:118-49.</t>
  </si>
  <si>
    <t>Nada AH, Sharaf MA, El Gholmy ZA, Khalafallah NM. Comparative bioavailability of norfloxacin tablets based on blood and urine data. Med Princ Pract. 2007;16(6):426-31.</t>
  </si>
  <si>
    <t>Campbell NR, Kara M, Hasinoff BB, Haddara WM, McKay DW. Norfloxacin interaction with antacids and minerals. Br J Clin Pharmacol. 1992;33(1):115-6.</t>
  </si>
  <si>
    <t>Chen X. Pharmacokinetics of norfloxacin by constant rate infusion. Zhongguo Linchuang Yaoli Zazhi. 1992;8:82-6.</t>
  </si>
  <si>
    <t>Elden E. Pharmacokinetics and bioavailability of norfloxacin microcapsules. Pharmazeutische Industrie. 1991;53(1):87-90.</t>
  </si>
  <si>
    <t>Nix DE, Wilton JH, Ronald B, Distlerath L, Williams VC, Norman A. Inhibition of norfloxacin absorption by antacids. Antimicrob Agents Chemother. 1990;34(3):432- 5</t>
  </si>
  <si>
    <t>Iwai N. Basic and clinical studies on norfloxacin in the pediatric field. Japanese Journal of Antibiotics. 1990;43(9):1629-48.</t>
  </si>
  <si>
    <t>Nakazawa SN, K; Sato, H. Pharmacaokinetic bacteriological and clinical studies in the pediatric field on norfloxacin. Japanese Journal of Antibiotics. 1990;43(5):799- 807</t>
  </si>
  <si>
    <t>Toyonaga YK, M; Imai, H. Laboratory and clinical studies on norfloxacin in the pediatric field Japanese Journal of Antibiotics. 1990;43(5):808-25.</t>
  </si>
  <si>
    <t>Sato YI, S; Akita, H. Laboratory and clinical studies on norfloxacin in pediatrics. Japanese Journal of Antibiotics. 1990;43(5):826-36.</t>
  </si>
  <si>
    <t>Nishimura T. Laboratory and clinical studies on norfloxacin in pediatric field. Japanese Journal of Antibiotics. 1990;43(5):860-71.</t>
  </si>
  <si>
    <t>Motohiro T. Pharmacokinetics and clinical studies of norfloxacin in the pediatric field. Japanese Journal of Antibiotics. 1990;43(5):901-17.</t>
  </si>
  <si>
    <t>Parpia SH, Nix DE, Hejmanowski LG, Goldstein HR, Wilton JH, Schentag JJ. Sucralfate reduces the gastrointestinal absorption of norfloxacin. Antimicrob Agents Chemother. 1989;33(1):99-102.</t>
  </si>
  <si>
    <t>Kelly J, Deaney N, Lavan J, Noel J. Chronic dose urinary and serum pharmacokinetics of norfloxacin in the elderly. British Journal of Clinical Pharmacology. 1988;26(6):787-90.</t>
  </si>
  <si>
    <t>MacGowan AP, Greig MA, Clarke EA, White LO, Reeves DS. The pharmacokinetics of norfloxacin in the aged. J Antimicrob Chemother. 1988;22(5):721-7.</t>
  </si>
  <si>
    <t>Motohiro TO, K; Aramaki, M. Fecal and urinary excretion of norfloxacin in adults. Japanese Journal of Antibiotics. 1987;40(11):1869-80.</t>
  </si>
  <si>
    <t>Edlund C, Bergan T, Josefsson K, Solberg R, Nord CE. Effect of norfloxacin on human oropharyngeal and colonic microflora and multiple-dose pharmacokinetics. Scand J Infect Dis. 1987;19(1):113-21.</t>
  </si>
  <si>
    <t>Shimada JS, A; Akaba, K. Human and animal studies on pharmaokinetics of norfloxacin in renal failure. Japanese Journal of Antibiotics. 1986;39(10):2643-50.</t>
  </si>
  <si>
    <t>Arrigo G, Cavaliere G, D'Amico G, Passarella E, Broccali G. Pharmacokinetics of norfloxacin in chronic renal failure. Int J Clin Pharmacol Ther Toxicol. 1985;23(9):491-6.</t>
  </si>
  <si>
    <t>Cofsky RD, duBouchet L, Landesman SH. Recovery of norfloxacin in feces after administration of a single oral dose to human volunteers. Antimicrob Agents Chemother. 1984;26(1):110-1.</t>
  </si>
  <si>
    <t>Hughes PJ, Webb DB, Asscher AW. Pharmacokinetics of norfloxacin (MK 366) in patients with impaired kidney function--some preliminary results. J Antimicrob Chemother. 1984;13 Suppl B:55-7.</t>
  </si>
  <si>
    <t>Adhami ZN, Wise R, Weston D, Crump B. The pharmacokinetics and tissue penetration of norfloxacin. J Antimicrob Chemother. 1984;13(1):87-92.</t>
  </si>
  <si>
    <t>Eandi M, Viano I, Di Nola F, Leone L, Genazzani E. Pharmacokinetics of norfloxacin in healthy volunteers and patients with renal and hepatic damage. Eur J Clin Microbiol. 1983;2(3):253-9.</t>
  </si>
  <si>
    <t>Swanson BN, Boppana VK, Vlasses PH, Rotmensch HH, Ferguson RK. Norfloxacin disposition after sequentially increasing oral doses. Antimicrob Agents Chemother. 1983;23(2):284-8.</t>
  </si>
  <si>
    <t>Ozaki TU, H; Irkuta, T. Studies on metabolism of AM-715 in humans by high-performance liquid chromatography. Chemotherapy (Tokyo). 1981;29:128-35.</t>
  </si>
  <si>
    <t>ViiV. 3TC: Lamivudine. ViiV Healthcare ULC; 2019.</t>
  </si>
  <si>
    <t>Johnson MA, Jenkins JM, Bye C. A study of the pharmacokinetic interaction between lamivudine and alpha interferon. Eur J Clin Pharmacol. 2000;56(4):289-92.</t>
  </si>
  <si>
    <t>Jiang J, Hu P, Xie H, Chen H, Fan F, Harker A, et al. The pharmacokinetics of lamivudine in healthy Chinese subjects. British Journal of Clinical Pharmacology. 1999;48(2):250-3.</t>
  </si>
  <si>
    <t>Johnson MA, Moore KH, Yuen GJ, Bye A, Pakes GE. Clinical pharmacokinetics of lamivudine. Clin Pharmacokinet. 1999;36(1):41-66.</t>
  </si>
  <si>
    <t>Johnson MA, Verpooten GA, Daniel MJ, Plumb R, Moss J, Van Caesbroeck D, et al. Single dose pharmacokinetics of lamivudine in subjects with impaired renal function and the effect of haemodialysis. Br J Clin Pharmacol. 1998;46(1):21-7.</t>
  </si>
  <si>
    <t>Johnson MA, Horak J, Breuel P. The pharmacokinetics of lamivudine in patients with impaired hepatic function. Eur J Clin Pharmacol. 1998;54(4):363-6.</t>
  </si>
  <si>
    <t>Heald AE, Hsyu PH, Yuen GJ, Robinson P, Mydlow P, Bartlett JA. Pharmacokinetics of lamivudine in human immunodeficiency virus-infected patients with renal dysfunction. Antimicrob Agents Chemother. 1996;40(6):1514-9.</t>
  </si>
  <si>
    <t>Angel. JB; Hussey EH, ST. Pharmacokinetics of 3TC (GRI09714X) Administered With and Without Food to HIV-Infected Patients. Drug Invest. 1993;6(2):70-4.</t>
  </si>
  <si>
    <t>van Leeuwen R, Lange JM, Hussey EK, Donn KH, Hall ST, Harker AJ, et al. The safety and pharmacokinetics of a reverse transcriptase inhibitor, 3TC, in patients with HIV infection: a phase I study. Aids. 1992;6(12):1471-5.</t>
  </si>
  <si>
    <t>Liu SN, Lu J, Gupta SK, Desta Z, Gufford BT. Effects of probenecid on the pharmacokinetics of tenofovir disoproxil fumurate and emtricitabine for on-demand HIV PrEP. Clinical pharmacology and therapeutics. 2019;105:S45?.</t>
  </si>
  <si>
    <t>Gilead. Emtriva (emtricitabine). Gilead Sciences; 2012.</t>
  </si>
  <si>
    <t>Nakatani-Freshwater T, Taft DR. Renal excretion of emtricitabine II. effect of trimethoprim on emtricitabine excretion: In vitro and in vivo studies. J Pharm Sci. 2008;97(12):5411-20.</t>
  </si>
  <si>
    <t>Zong J, Chittick GE, Wang LH, Hui J, Begley JA, Blum MR. Pharmacokinetic evaluation of emtricitabine in combination with other nucleoside antivirals in healthy volunteers. J Clin Pharmacol. 2007;47(7):877-89.</t>
  </si>
  <si>
    <t>Wang LH, Wiznia AA, Rathore MH, Chittick GE, Bakshi SS, Emmanuel PJ, et al. Pharmacokinetics and safety of single oral doses of emtricitabine in human immunodeficiency virus-infected children. Antimicrob Agents Chemother. 2004;48(1):183-91.</t>
  </si>
  <si>
    <t>Essien EF-O, B; Olushoga, FO. Analysis of tetracyline and oxytetracycline in pharmaceutical preparations and in urine I. Comparison of pulso polarographic and UV spectrophotometric methods. Anales de la Real Academia de Farmacia. 1985;51(3):495-512.</t>
  </si>
  <si>
    <t>Aboutaleb AE, Tout SA. Formulation and bioavailability of directly compressed oxytetracycline hydrochloride tablets. Pharmazie. 1983;38(3):186-8.</t>
  </si>
  <si>
    <t>Neuvonen PJ, Penttilä O, Lehtovaara R, Aho K. Effect of antiepileptic drugs on the elimination of various tetracycline derivatives. Eur J Clin Pharmacol. 1975;9(2- 3):147-54.</t>
  </si>
  <si>
    <t>Alestig K. Studies on the intestinal excretion of doxycycline. Scand J Infect Dis. 1974;6(3):265-71.</t>
  </si>
  <si>
    <t>Kunin CM, Dornbush AC, Finland M. Distribution and excretion of four tetracycline analogues in normal young men. J Clin Invest. 1959;38(11):1950-63.</t>
  </si>
  <si>
    <t>Purcell EM, Wright SS, Mou TW, Finland M. Blood levels and urinary excretion in normal subjects after ingestion of tetracycline analogues. Proc Soc Exp Biol Med. 1954;85(1):61-5.</t>
  </si>
  <si>
    <t>Vanakoski J, Seppälä T. Renal excretion of tetracycline is transiently decreased during short-term heat exposure. Int J Clin Pharmacol Ther. 1997;35(5):204-7.</t>
  </si>
  <si>
    <t>Cook HJ, Mundo CR, Fonseca L, Gasque L, Moreno-Esparza R. Influence of the diet on bioavailability of tetracycline. Biopharm Drug Dispos. 1993;14(6):549-53.</t>
  </si>
  <si>
    <t>Jung H, Rivera O, Reguero MT, Rodríguez JM, Moreno-Esparza R. Influence of liquids (coffee and orange juice) on the bioavailability of tetracycline. Biopharmaceutics &amp; Drug Disposition. 1990;11(8):729-34.</t>
  </si>
  <si>
    <t>LeDuc BG, DJ; Friedman, H. Automated high-performance liquid chromatographic analysis of tetracycline in urine. Journal of Chromatography B: Biomedical Sciences and Applications. 1989;490:474-7.</t>
  </si>
  <si>
    <t>Sjölin-Forsberg G, Hermansson J. Comparative bioavailability of tetracycline and lymecycline. Br J Clin Pharmacol. 1984;18(4):529-33.</t>
  </si>
  <si>
    <t>Raghuram TC, Krishnaswamy K. Tetracycline absorption in malnutrition. Drug Nutr Interact. 1981;1(1):23-9.</t>
  </si>
  <si>
    <t>Garty M, Hurwitz A. Effect of cimetidine and antacids on gastrointestinal absorption of tetracycline. Clin Pharmacol Ther. 1980;28(2):203-7.</t>
  </si>
  <si>
    <t>Fisher P, House F, Inns P, Morrison PJ, Rogers HJ, Bradbrook ID. Effect of cimetidine on the absorption of orally administered tetracycline. Br J Clin Pharmacol. 1980;9(2):153-8.</t>
  </si>
  <si>
    <t>Poiger H, Schlatter C. Compensation of dietary induced reduction of tetracycline absorption by simultaneous administration of EDTA. Eur J Clin Pharmacol. 1978;14(2):129-31.</t>
  </si>
  <si>
    <t>Ochs HR, Greenblatt DJ, Dengler HJ. Absorption of oral tetracycline in patients with Billroth-II gastrectomy. J Pharmacokinet Biopharm. 1978;6(4):295-303.</t>
  </si>
  <si>
    <t>Adir J, Barr WH. Dose-dependent bioavailability of tetracycline in man. J Pharmacokinet Biopharm. 1978;6(2):99-110.</t>
  </si>
  <si>
    <t>Kramer PA, Chapron DJ, Benson J, Mercik SA. Tetracycline absorption in elderly patients with achlorhydria. Clin Pharmacol Ther. 1978;23(4):467-72.</t>
  </si>
  <si>
    <t>Ylitalo P, Hinkka H, Neuvonen PJ. Effect of exercise on the serum level and urinary excretion of tetracycline, doxycycline and sulphamethizole. Eur J Clin Pharmacol. 1977;12(5):367-73.</t>
  </si>
  <si>
    <t>Khalil SA, Daabis NA, Naggar VF, Wafik M. Effect of magnesium trisilicate and citric acid on the biovailability of tetracycline in man. Pharmazie. 1977;32(8-9):519- 22</t>
  </si>
  <si>
    <t>Raghuram TC, Krishnaswamy K, Naidu AN. Bioavailability of different brands of tetracyclines. Indian J Med Res. 1977;65(5):696-703.</t>
  </si>
  <si>
    <t>Penttilä O, Hurme H, Neuvonen PJ. Effect of zinc sulphate on the absorption of tetracycline and doxycycline in man. Eur J Clin Pharmacol. 1975;9(2-3):131-4.</t>
  </si>
  <si>
    <t>Aukee S, Venho VM, Jussila J, Karjalainen P. Drug absorption in patients with T-tube after cholecystectomy. Ann Clin Res. 1975;7(1):42-6.</t>
  </si>
  <si>
    <t>Neuvonen PJ, Turakka H. Inhibitory effect of various iron salts on the absorption of tetracycline in man. Eur J Clin Pharmacol. 1974;7(5):357-60.</t>
  </si>
  <si>
    <t>Meyer MC, Dann RE, Whyatt PL, Slywka GW. The bioavailability of sixteen tetracycline products. J Pharmacokinet Biopharm. 1974;2(4):287-97.</t>
  </si>
  <si>
    <t>Jaffe JM, Colaizzi JL, Poust RI, McDonald RH. Effect of altered urinarypH on tetracycline and doxycycline excretion in humans. Journal of Pharmacokinetics and Biopharmaceutics. 1973;1(4):267-82.</t>
  </si>
  <si>
    <t>Tuomisto J, Männistö P. Cross-over study of ten tetracycline preparations. European Journal of Clinical Pharmacology. 1973;6(1):64-8.</t>
  </si>
  <si>
    <t>Barr WH, Gerbracht LM, Letcher K, Plaut M, Strahl N. Assessment of the biologic availability of tetracycline products in man. Clin Pharmacol Ther. 1972;13(1):97- 108</t>
  </si>
  <si>
    <t>Holvey DN, Iles RL, LaPiana JC. Serum concentrations and recovery in urine of four tetracycline analogues. Curr Ther Res Clin Exp. 1970;12(8):536-44.</t>
  </si>
  <si>
    <t>Steigbigel NH, Reed CW, Finland M. Absorption and excretion of five tetracycline analogues in normal young men. American Journal of Medical Sciences. 1968;255:296-312.</t>
  </si>
  <si>
    <t>Whalley PJ, Martin FG, Adams RH, Combes B. Tetracycline disposition in normal pregnancy. Obstet Gynecol. 1966;28(1):103-11.</t>
  </si>
  <si>
    <t>Kunin CM. Comparative serum binding, distribution and excretion of tetracycline and a new analogue, methacycline. Proc Soc Exp Biol Med. 1962;110:311-5.</t>
  </si>
  <si>
    <t>Nelson E. Urinary Excretion Kinetics for Evaluation of Drug Absorption II**Received July 6, 1959, from the School of Pharmacy, University of California, San Francisco 22.: Constant, Rate-Limited Release of Tetracycline After Ingestion By Humans. Journal of the American Pharmaceutical Association (Scientific ed). 1960;49(1):54- 6</t>
  </si>
  <si>
    <t>Nelson E. Urinary excretion kinetics for evaluation of drug absorption III. Method for calculation of absorption rate and application to tetracycline absorption in humans. Journal of the American Pharmaceutical Association. 1960;49(7):437-40.</t>
  </si>
  <si>
    <t>Buckwalter FH, Cronk GA. Tetracycline and sulfonamide serum and urine concentrations in human subjects obtained with a new syrup for urinary tract infections. Antibiot Chemother (Northfield). 1960;7:439-48.</t>
  </si>
  <si>
    <t>Schwarzer S, Reeves R, Claps A, Anderson AF. Tetracycline: studies on absorption, distribution, excretion, and clinical trial in children. J Pediatr. 1954;45(3):285-92.</t>
  </si>
  <si>
    <t>Sun XH, W. Single dose pharmacokinetics of doxycycline hydrochloride for injection. Zhongguo Kangshengsu Zazhi. 2006;31(10):624-6.</t>
  </si>
  <si>
    <t>Deppermann KM, Lode H, Höffken G, Tschink G, Kalz C, Koeppe P. Influence of ranitidine, pirenzepine, and aluminum magnesium hydroxide on the bioavailability of various antibiotics, including amoxicillin, cephalexin, doxycycline, and amoxicillin-clavulanic acid. Antimicrob Agents Chemother. 1989;33(11):1901-7.</t>
  </si>
  <si>
    <t>Nguyen VX, Nix DE, Gillikin S, Schentag JJ. Effect of oral antacid administration on the pharmacokinetics of intravenous doxycycline. Antimicrob Agents Chemother. 1989;33(4):434-6.</t>
  </si>
  <si>
    <t>Campistron G, Coulais Y, Caillard C, Mosser J, Pontagnier H, Houin G. Pharmacokinetics and bioavailability of doxycycline in humans. Arzneimittelforschung. 1986;36(11):1705-7.</t>
  </si>
  <si>
    <t>Houin G, Brunner F, Nebout T, Cherfaoui M, Lagrue G, Tillement JP. The effects of chronic renal insufficiency on the pharmacokinetics of doxycycline in man. Br J Clin Pharmacol. 1983;16(3):245-52.</t>
  </si>
  <si>
    <t>Althuisius HJ, TH; Janbroers, JM. Ein doxycycline derivaat met bijzonndere eigenschappen: doxycycline natrium metafosfaat complex. Acta Therapeutica. 1983;9:275-87.</t>
  </si>
  <si>
    <t>Raghuram TC, Krishnaswamy K. Pharmacokinetics and plasma steady state levels of doxycycline in undernutrition. Br J Clin Pharmacol. 1982;14(6):785-9.</t>
  </si>
  <si>
    <t>Mattila MJ, Laisi U, Linnoila M, Salonen R. Effect of alcoholic beverages on the pharmacokinetics of doxycycline in man. Acta Pharmacol Toxicol (Copenh). 1982;50(5):370-3.</t>
  </si>
  <si>
    <t>Saux MC, Mosser J, Pontagnier H, Leng B. Pharmacokinetic study of doxycycline polyphosphate (PPD), hydrochloride (CHD) and base (DB). Eur J Drug Metab Pharmacokinet. 1981;6(1):3-10.</t>
  </si>
  <si>
    <t>Fourtillan JB, Lefebvre MA, Saux MC, Becq-Giraudon B. [Pharmacokinetic study of doxycycline in man by high performance liquid chromatography. Administration of single 200 mg doses intravenously and orally]. Nouv Presse Med. 1980;9(21 Suppl):77-81.</t>
  </si>
  <si>
    <t>Venho VM, Salonen RO, Mattila MJ. Modification of the pharmacokinetics of doxycycline in man by ferrous sulphate or charcoal. Eur J Clin Pharmacol. 1978;14(4):277-80.</t>
  </si>
  <si>
    <t>Heaney D, Eknoyan G. Minocycline and doxycycline kinetics in chronic renal failure. Clin Pharmacol Ther. 1978;24(2):233-9.</t>
  </si>
  <si>
    <t>Mahon WA, Johnson GE, Endrenyl L, Kelly MF, Fenton SS. The elimination of tritiated doxycycline in normal subjects and in patients with severely impaired renal function. Scand J Infect Dis Suppl. 1976(9):24-31.</t>
  </si>
  <si>
    <t>Matsumoto K, Noguchi Y, Uzuka Y, Imaoka M, Kimura H. [Laboratory studies on doxycycline intravenous (author's transl)]. Jpn J Antibiot. 1975;28(6):740-4.</t>
  </si>
  <si>
    <t>Simon C, Malerczyk V, Engelke H, Preuss I, Grahmann H, Schmidt K. [The pharmacokinetics of doxycycline in kidney insufficiency in geriatric patients compared to younger adults]. Schweiz Med Wochenschr. 1975;105(48):1615-20.</t>
  </si>
  <si>
    <t>Dimmling T, Vanderbeke O. [Pharmacokinetics after oral and intravenous administration of tetracycline compounds (author's transl)]. Med Klin. 1975;70(7):279- 85</t>
  </si>
  <si>
    <t>Jaffe JM, Poust RI, Feld SL, Colaizzi JL. Influence of repetitive dosing and altered urinary pH on doxycycline excretion in humans. J Pharm Sci. 1974;63(8):1256-60.</t>
  </si>
  <si>
    <t>Whelton A, Schach von Wittenau M, Twomey TM, Walker WG, Bianchine JR. Doxycycline pharmacokinetics in the absence of renal function. Kidney Int. 1974;5(5):365-71.</t>
  </si>
  <si>
    <t>Ao NK, Taneja OP, Bhatia VN, Aggarwal DS. Serum Concentration and Urinary Excretion of Doxycline in Normal Subjects and Patients with Renal Insufficiency. Chemotherapy. 1974;20(3):129-40.</t>
  </si>
  <si>
    <t>Lee P, Crutch ER, Morrison RB. Doxycycline: studies in normal subjects and patients with renal failure. N Z Med J. 1972;75(481):355-8.</t>
  </si>
  <si>
    <t>Schach von Wittenau M, Twomey TM. The Disposition of Doxycycline by Man and Dog. Chemotherapy. 1971;16(4):217-28.</t>
  </si>
  <si>
    <t>Mahon WA, Wittenberg JV, Tuffnel PG. Studies on the absorption and distribution of doxycycline in normal patients and in patients with severely impaired renal function. Can Med Assoc J. 1970;103(10):1031-4.</t>
  </si>
  <si>
    <t>Fabre J, Pitton JS, Kunz JP, Rozbroj S, Hungerbühler RM. Distribution and Excretion of Doxycycline in Man. Chemotherapy. 1966;11(2):73-85.</t>
  </si>
  <si>
    <t>Tous S, Mohammed FA, Sayed MA. In vivo evaluation of nitrofurantoin floating solid drug delivery system. Journal of Drug Delivery Science and Technology. 2008;18(5):367-71.</t>
  </si>
  <si>
    <t>Adkison KK, Vaidya SS, Lee DY, Koo SH, Li L, Mehta AA, et al. The ABCG2 C421A polymorphism does not affect oral nitrofurantoin pharmacokinetics in healthy Chinese male subjects. Br J Clin Pharmacol. 2008;66(2):233-9.</t>
  </si>
  <si>
    <t>Ertan G, Karasulu E, Abou-Nada M, Tosun M, Ozer A. Sustained-release dosage form of nitrofurantoin. Part 2. In vivo urinary excretion in man. J Microencapsul. 1994;11(2):137-40.</t>
  </si>
  <si>
    <t>Onyeji CO, JA. Bioavailability of nitrofurantoin from multiple w/o/w emulsions in man and the influence of the oil phase of the emulsion. Indian J Pharm Sci. 1992;55(1):14-8.</t>
  </si>
  <si>
    <t>Karasulu HE, G; Guneri, T. Pharmacokinetics and bioavailability of nitrofurantoin matrix tablets. Eur J Drug Metab Pharmacokinet. 1993;18:108-14.</t>
  </si>
  <si>
    <t>Morasso MI, Pezoa R, Villanueva Y, Gai MN, Arancibia A. Effect of mixing on the bioavailability of nitrofurantoin capsules. Farmaco. 1990;45(1):123-30.</t>
  </si>
  <si>
    <t>Wagner DL, Nesbitt JD, Conklin JD, Hailey FJ. Absorption of orally, intraduodenally, and intraileally administered nitrofurantoin in man. International Journal of Pharmaceutics. 1989;57(2):177-80.</t>
  </si>
  <si>
    <t>Meyer MC, Wood GC, Straughn AB. In vitro and in vivo evaluation of seven 50 mg and 100 mg nitrofurantoin tablets. Biopharm Drug Dispos. 1989;10(3):321-9.</t>
  </si>
  <si>
    <t>Gröning R, Heun G. Dosage forms with controlled gastrointestinal passage - studies on the absorption of nitrofurantoin. International Journal of Pharmaceutics. 1989;56(2):111-6.</t>
  </si>
  <si>
    <t>Guelen PJM, Boerema JBJ, Vree TB. Comparative Human Bioavailability Study of Macrocrystalline Nitrofurantoin and Two Prolonged-Action Hydroxymethylnitrofurantoin Preparations. Drug Intelligence &amp; Clinical Pharmacy. 1988;22(12):959-64.</t>
  </si>
  <si>
    <t>Mortada SA, el Egaky AM, Motawi AM, el Khodery KA. Preparation of microcapsules from complex coacervation of Gantrez-gelatin. II. In vitro dissolution of nitrofurantoin microcapsules. J Microencapsul. 1987;4(1):23-37.</t>
  </si>
  <si>
    <t>Ali AA, Gorashi AS, Rao Y. Influence of food on the bioavailability of nitrofurantoin. Indian Journal of Pharmaceutical Sciences. 1988;50(6):308-11.</t>
  </si>
  <si>
    <t>Mason WD, Conklin JD, Hailey FJ. Between-lot and within-lot comparisons of bioavailability of macrocrystalline nitrofurantoin capsules. Pharm Res. 1987;4(6):499- 503</t>
  </si>
  <si>
    <t>Mason WD, Conklin JD, Hailey FJ. Relative bioavailability of four macrocrystalline nitrofurantoin capsules. International Journal of Pharmaceutics. 1987;36(2):105- 11</t>
  </si>
  <si>
    <t>Hashim F, Sakr FM, el Din EZ. In vitro release and in vivo absorption of nitrofurantoin and nalidixic acid from ethylcellulose microcapsules. Pharmazie. 1987;42(5):315-7.</t>
  </si>
  <si>
    <t>Macheras PE, Reppas CI. Studies on freeze-dried drug-milk formulations. II: Effect of regenerated fluid volume on nitrofurantoin bioavailability. J Pharm Sci. 1986;75(12):1145-50.</t>
  </si>
  <si>
    <t>Ogunbona FA, Oluwatudimu OO. Effect of a Non-European (Nigerian) meal on the bioavailability of nitrofurantoin in man. International Journal of Pharmaceutics. 1986;29(2):191-3.</t>
  </si>
  <si>
    <t>Lopez AA, Molina MM, Jung HC, Dorantes AG, Espejo OO, Garcia CR. Bioequivalence study of nitrofurantoin tablets: in vitro-in vivo correlation. International Journal of Pharmaceutics. 1986;28(2):167-75.</t>
  </si>
  <si>
    <t>Ebian A. Nitrofurantoin II Correlation of in vivo bioavailability to in vitro dissolution of nitrofurantoin tablets aged at different relative humidities and elevated temperatures. Egyptian Journal of Pharmaceutical Sciences. 1986;27:347-58.</t>
  </si>
  <si>
    <t>Muchhala AT, HP; Kulkarni, RD. Effect of food on the bioavailability of nitrofurantoin products marketed in India. Indian Drugs. 1984;11:489-94.</t>
  </si>
  <si>
    <t>Ali AA, Gorashi AS. Absorption and dissolution of nitrofurantoin from different experimental formulations. International Journal of Pharmaceutics. 1984;19(3):297- 306</t>
  </si>
  <si>
    <t>Wierzba K, Wa?kowicz B, Rogóyski A, Prokopczyk J, Piekarczyk A, Kami?ska E, et al. Experimental and clinical pharmacokinetics of nitrofurantoin in the early period of life. Padiatr Padol. 1982;17(2):293-9.</t>
  </si>
  <si>
    <t>Hoener B, Patterson SE. Nitrofurantoin disposition. Clin Pharmacol Ther. 1981;29(6):808-16.</t>
  </si>
  <si>
    <t>Gogate UT, HP. Bioavailability of commercial nitrofurantoin products in humans. Indian Drugs. 1981;19(2):49-54.</t>
  </si>
  <si>
    <t>Datla R, Rao SR, Murthy KJ. Excretion studies of nitrofurantoin and nitrofurantoin with deglycyrrhizinated liquorice. Indian J Physiol Pharmacol. 1981;25(1):59-63.</t>
  </si>
  <si>
    <t>Gröning R. Control of release and biological availability of drugs - investigations into the renal elimination of nitrofurantoin. International Journal of Pharmaceutics. 1981;8(3):175-81.</t>
  </si>
  <si>
    <t>Soci MM, Parrott EL. Influence of viscosity on absorption from nitrofurantoin suspensions. J Pharm Sci. 1980;69(4):403-6.</t>
  </si>
  <si>
    <t>Maier-Lenz H, Ringwelski L, Windorfer A. Comparative pharmacokinetics and relative bioavailability for different preparations of nitrofurantoin. Arzneimittelforschung. 1979;29(12):1898-901.</t>
  </si>
  <si>
    <t>Naggar VF, Khalil SA. Effect of magnesium trisilicate on nitrofurantoin absorption. Clin Pharmacol Ther. 1979;25(6):857-63.</t>
  </si>
  <si>
    <t>Männistö P. The effect of crystal size, gastric content and emptying rate on the absorption of nitrofurantoin in healthy human volunteers. Int J Clin Pharmacol Biopharm. 1978;16(5):223-8.</t>
  </si>
  <si>
    <t>Mendes RW, Masih SZ, Kanumuri RR. Effect of formulation and process variables on bioequivalency of nitrofurantoin II: in vivo-in vitro correlation. J Pharm Sci. 1978;67(11):1616-9.</t>
  </si>
  <si>
    <t>Parrott EL, Matheson LE, Jr. Rectal absorption of nitrofurantoin. J Pharm Sci. 1977;66(7):955-8.</t>
  </si>
  <si>
    <t>DiSanto AR, Chodos DJ, Phillips JP, DeSante KA, Stoll RG. Clinical bioavaiability of nitrofurantoin--a case of bioinequivalence. Int J Clin Pharmacol Biopharm. 1976;13(3):220-7.</t>
  </si>
  <si>
    <t>Rosenberg HA, Bates TR. The influence of food on nitrofurantoin bioavailability. Clin Pharmacol Ther. 1976;20(2):227-32.</t>
  </si>
  <si>
    <t>Meyer MC, Slywka GWA, Dann RE, Whyatt PL. Bioavailability of 14 nitrofurantoin products. Journal of Pharmaceutical Sciences. 1974;63(11):1693-8.</t>
  </si>
  <si>
    <t>Bates TR, Sequeira JA, Tembo AV. Effect of food on nitrofurantoin absorption. Clin Pharmacol Ther. 1974;16(1part1):63-8.</t>
  </si>
  <si>
    <t>Albert KS, Sedman AJ, Wilkinson P, Stoll RG, Murray WJ, Wagner JG. Bioavailability studies of acetaminophen and nitrofurantoin. J Clin Pharmacol. 1974;14(5- 6):264-70.</t>
  </si>
  <si>
    <t>Nikam SC, SR; Bhide, MB. Urinary excretion of nitrofurantoin from nitrofurantoin tablet of different pharmaceutical firms. INdian Journal of Pharmacy. 1973;35(6):203.</t>
  </si>
  <si>
    <t>Stoll RG, Bates TR, Swarbrick J. In vitro dissolution and in vivo absorption of nitrofurantoin from deoxycholic acid coprecipitates. J Pharm Sci. 1973;62(1):65-8.</t>
  </si>
  <si>
    <t>Conklin JD, Hailey FJ. Urinary drug excretion in man during oral dosage of different nitrofurantoin formulations. Clin Pharmacol Ther. 1969;10(4):534-9.</t>
  </si>
  <si>
    <t>Sachs J, Geer T, Noell P, Kunin CM. Effect of renal function on urinary recovery of orally administered nitrofurantoin. N Engl J Med. 1968;278(19):1032-5.</t>
  </si>
  <si>
    <t>Paul HE, Hayes KJ, Paul MF, Borgmann AR. Laboratory studies with nitrofurantoin. Relationship between crystal size, urinary excretion in the rat and man, and emesis in dogs. Journal of Pharmaceutical Sciences. 1967;56(7):882-5.</t>
  </si>
  <si>
    <t>Reckendorf. Comparative pharmacodynamics, urinary excretion, and half-life determinations of nitrofurantoin. Antimicrob Agent Chemother. 1962;2:531-37.</t>
  </si>
  <si>
    <t>Giachini G, Fidenzoni L, Benvignati S, Avanzini F. Blood levels and urinary concentrations in man after intramuscular administration of a sodium salt of N-(5-nitro 2- furfurilidene)-1-aminohydantoin. J Urol. 1961;85:189-91.</t>
  </si>
  <si>
    <t>Mazza A, Hecht-Lucari G. Urinary excretion, blood levels, and toxicity in humans of the sodium salt of N-(5-nitro-2-furfurylidene)-1-aminohydantoin when given by the intramuscular and intravenous routes. Antibiot Chemother (Northfield). 1961;11:434-7.</t>
  </si>
  <si>
    <t>Malbica JO, Monson KR. New and expedient determination of atenolol in biological samples. J Pharm Sci. 1975 Dec;64(12):1992-4. doi: 10.1002/jps.2600641219. PMID:1511.</t>
  </si>
  <si>
    <t>Human</t>
  </si>
  <si>
    <t>-</t>
  </si>
  <si>
    <t xml:space="preserve">Human </t>
  </si>
  <si>
    <t>Human: renal failure</t>
  </si>
  <si>
    <t>Carbamazepine</t>
  </si>
  <si>
    <t>Bezafibrate</t>
  </si>
  <si>
    <t>Tramadol</t>
  </si>
  <si>
    <t>Ranitidine</t>
  </si>
  <si>
    <t>Ceolotti et al. (2024)</t>
  </si>
  <si>
    <t>urine + faeces</t>
  </si>
  <si>
    <t>Wright 2000 [183], (ref
Bertek Pharm. 1998 [184])</t>
  </si>
  <si>
    <t>Anderson P, Norbeck HE. Clinical pharmacokinetics of bezafibrate in patients with impaired renal function. Eur J Clin Pharmacol. 1981;21(3):209-14. doi: 10.1007/BF00627922. PMID: 7318880.</t>
  </si>
  <si>
    <t>Lienert J, Güdel K, Escher BI. Screening method for ecotoxicological hazard assessment of 42 pharmaceuticals considering human metabolism and excretory routes. Environ Sci Technol 2007;41(12):4471-8</t>
  </si>
  <si>
    <t>https://pubs.acs.org/doi/10.1021/es0627693</t>
  </si>
  <si>
    <t xml:space="preserve"> oral              </t>
  </si>
  <si>
    <t>NA</t>
  </si>
  <si>
    <t xml:space="preserve">Besse et al. (2008). Exposure Assessment of Pharmaceuticals and Their Metabolites in the Aquatic Environment: Application to the French Situation and Preliminary Prioritization, Human and Ecological Risk Assessment: An International Journal, 2008 14:4, 665-695 </t>
  </si>
  <si>
    <t>https://doi.org/10.1080/10807030802235078</t>
  </si>
  <si>
    <t>(i) The Banque Claude Bernard (BCB 2006), a complete and free French databank on human pharmaceuticals (http://www.resip.fr);  (ii) data from the Marketing Authorisation Application (MAA); the BIAM database (www.biam2.org 2006); (iii) www.drugs.com; (iv) the Micromedex Drugdex_R databank (from Thomson Micromedex, www.micromedex.com/products/drugdex); (v) Martindale compendium’s Complete Drug Reference (Martindale 2002); (vi) the Goodman &amp; Gilman’s The Pharmacological Basis of Therapeutic (Hardman et al. 1996); (vii) the Merck Index (Merck 2001); (viii) the Dorosz Guide pratique des m´edicaments (Dorosz 2007); (ix) HSDB database (http://www.toxnet.nlm.nih.gov/).</t>
  </si>
  <si>
    <t>Total excretion as parent. Unclear where value is from</t>
  </si>
  <si>
    <t>https://doi.org/10.1016/j.jhazmat.2005.03.001</t>
  </si>
  <si>
    <t>E. Zuccato et al. (2005) Identification of the pharmaceuticals for human use contaminating the Italian aquatic environment. J. Hazard. Mater., 122 (3) (2005), pp. 109-205</t>
  </si>
  <si>
    <t>https://doi.org/10.1016/j.ecoenv.2004.11.011</t>
  </si>
  <si>
    <t>Jjemba PK. Excretion and ecotoxicity of pharmaceutical and personal care products in the environment. Ecotox Environ Safe 2006;63:113–30</t>
  </si>
  <si>
    <t>https://doi.org/10.1016/j.envres.2015.04.003</t>
  </si>
  <si>
    <t>Mendoza A, Aceña J, Pérez S, López de Alda M, Barceló D, Gil A, Valcárcel Y. Pharmaceuticals and iodinated contrast media in a hospital wastewater: A case study to analyse their presence and characterise their environmental risk and hazard. Environ Res 2015;140:225-41.</t>
  </si>
  <si>
    <t>10.1007/978-1-4419-1157-5_2</t>
  </si>
  <si>
    <t>Monteiro &amp; Boxall (2010). Occurrence and fate of human pharmaceuticals in the environment. Rev Environ Contam Toxicol 2010;202:53-154</t>
  </si>
  <si>
    <t>Otiz de Garcia et al. report % absorbed and % of absorbed amount excreted</t>
  </si>
  <si>
    <t>https://doi.org/10.1016/j.scitotenv.2012.11.057</t>
  </si>
  <si>
    <t>Ortiz de García et al. (2013). Consumption and occurrence of pharmaceutical and personal care products in the aquatic environment in Spain. Sci Total Environ 2013;444:451-65.</t>
  </si>
  <si>
    <t>Sum of the excretion rate via both urine and feces.</t>
  </si>
  <si>
    <t>https://doi.org/10.1002/etc.221</t>
  </si>
  <si>
    <t>Perazzolo C, Morasch B, Kohn T, Smagnet A, Thonney D, Chèvre N. Occurrence and fate of micropollutants in the Vidy Bay of Lake Geneva, Switzerland. part I: Priority list for environmental risk assessment of pharmaceuticals. Environ Toxicol Chem 2010;29(8):1649-57.</t>
  </si>
  <si>
    <t>https://doi.org/10.1016/j.chemosphere.2008.04.034</t>
  </si>
  <si>
    <t>Ternes (1998); Carballa M, Omil F, Lema JM. Comparison of predicted and measured concentrations of selected pharmaceuticals, fragrances and hormones in Spanish sewage. Chemosphere 2008;72:1118–23.</t>
  </si>
  <si>
    <t>Total</t>
  </si>
  <si>
    <t xml:space="preserve">Besse et al. report total excretion rates of the active molecule and includes conjugates. Excretion rates were determined by summing the excreted proportion of the unchanged active molecule (in urine and/or in feces) and the proportion of the parent molecule existing as a glucuronide conjugate. If no information was given on the nature of the conjugate, we assumed a worst case hypothesis considering that all conjugates were glucuronide conjugates. Rates of molecule not absorbed by the digestive tract were added to the other excretion rates to give the final Fexcreta value. </t>
  </si>
  <si>
    <t>Zuccato et al. (2005) Identification of the pharmaceuticals for human use contaminating the Italian aquatic environment. J. Hazard. Mater., 122 (3) (2005), pp. 109-205</t>
  </si>
  <si>
    <t>Martindale (1999)</t>
  </si>
  <si>
    <t>Abshagen, U., Bablok, W., Koch, K. et al. Disposition pharmacokinetics of bezafibrate in man. Eur J Clin Pharmacol 16, 31–38 (1979). https://doi.org/10.1007/BF00644963</t>
  </si>
  <si>
    <t>https://link.springer.com/article/10.1007/BF00644963</t>
  </si>
  <si>
    <t>Huschek et al. (2004)</t>
  </si>
  <si>
    <t xml:space="preserve"> https://doi.org/10.1002/tox.20015</t>
  </si>
  <si>
    <t>Pfleger et al., 1992; Roth and Fenner, 1994; Albrecht, 1997; Ellenhorn, 1997; Rang et al., 1999; Clinical Toxicology, 2001; Mutschler et al., 2001; O’Neil et al., 2001; and Bundesverband der Pharmazeutischen Industrie (BPI), 2003</t>
  </si>
  <si>
    <t>Excretion as unchanged drug in urine. Absorption rate 95-100%, hence up to 5% excretion in faeces could be added. Unable to check the cited sources</t>
  </si>
  <si>
    <t>Excretion rates are as parent compound in clinical settings. Bioavailability is 95%, hence 5% is assumed excreted with faeces. Values from Martindale (1999). Jjemba (2006) cited by Monteiro &amp; Boxall (2010). Occurrence and fate of human pharmaceuticals in the environment. Rev Environ Contam Toxicol 2010;202:53-154</t>
  </si>
  <si>
    <t>Spanish Agency of Medicines and Health Products (2011)</t>
  </si>
  <si>
    <t xml:space="preserve">Swiss Drug Compendium (www.kompendium.ch); alternatively, the databases RxList (www.rxlist.com) and Biam (www.biam2.org) </t>
  </si>
  <si>
    <t>Azithromycin</t>
  </si>
  <si>
    <t>doi: 10.1007/978-1-4419-1157-5_2</t>
  </si>
  <si>
    <t>Anderson et al. (2002) Handbook of Clinical Drug Data.</t>
  </si>
  <si>
    <t>https://doi.org/10.1007/978-1-4419-1157-5_2</t>
  </si>
  <si>
    <t>Schlossberg (1995). Azithromycin and clarithromycin. Med Clin North Am 1995;79:803–15;  Zuckerman (2000). The newer macrolides: azithromycin and clarithromycin. Infect Dis Clin North Am 2000, 14:449–62;, . Piscitelli SC et al. (1992) Clarithromycin and azithromycin: new macrolide antibiotics. Clin Pharm 1992;11:137–52; , Rodvold KA, Piscitelli SC. New oral macrolide and fluoroquinolone antibiotics: an overview of pharmacokinetics, interactions, and safety. Clin Infect Dis 1993;17(suppl 1):S192–9;  Drugbank,</t>
  </si>
  <si>
    <t>https://doi.org/10.1016/j.scitotenv.2016.04.165</t>
  </si>
  <si>
    <t>https://doi.org/10.1111/j.1469-0691.2003.00739.x</t>
  </si>
  <si>
    <t>Kummerer K, Henninger A. Promoting resistance by the emission of antibiotics from hospitals and households into effluent. Clin Microbiol Infect 2003;9:1203–14.</t>
  </si>
  <si>
    <t>Gerding et al. (1991) Extravascular antimicrobial distribution and the respective blood concentrations in human. V Lorian (Ed.), Antibiotics in laboratory medicine (3rd edn.), Williams &amp; Wilkins (1991), pp. 880-961;  C Simon, W Stille Antibiotikatherapie in klinik und praxis (8th edn.), Schlattauer, Stuttgart, New York</t>
  </si>
  <si>
    <t xml:space="preserve">Ortiz de Garcia et al. report % absorption (anything not absorbed is assumed excreted in it parent form) and % of absorbed amount that is excreted. </t>
  </si>
  <si>
    <t xml:space="preserve">WebMD (2012); World Health Organization (2011); Spanish Agency of Medicines and Health Products (2011), </t>
  </si>
  <si>
    <t>Verlicchi cites RxList. Looking at this (e.g., https://www.rxlist.com/zithromax-drug.htm#clinpharm), I think it refers to a study that reports up to 14% excretion in urine. Hence I don't think this value is representative for total excretion</t>
  </si>
  <si>
    <t>Verlicchi et al. (2014) Comparison of measured and predicted concentrations of selected pharmaceuticals in wastewater and surface water: A case study of a catchment area in the Po valley (Italy). Sci Total Environ 2014;470-471:844-54.</t>
  </si>
  <si>
    <t>https://doi.org/10.1016/j.scitotenv.2013.10.026</t>
  </si>
  <si>
    <t xml:space="preserve">6% excreted as unchanged drug in urine. It is stated that bioavailability (ie absorption) is 37%, hence 63% can be assumed unabsorbed and excreted with faeces. The 6% value is cited in Monteiro &amp; Boxall (2010). </t>
  </si>
  <si>
    <t>Kasprzyk-Hordern et al. (2021)</t>
  </si>
  <si>
    <t>Thayer et al. 2015</t>
  </si>
  <si>
    <t>https://doi.org/10.1016/j.envint.2020.106331</t>
  </si>
  <si>
    <t>https://doi.org/10.1016/j.envint.2015.06.008</t>
  </si>
  <si>
    <t>10.1093/infdis/128.supplement_3.s556</t>
  </si>
  <si>
    <t>Carballa et al. (2008). Comparison of predicted and measured concentrations of selected pharmaceuticals, fragrances and hormones in Spanish sewage. Chemosphere 2008;72:1118–23.</t>
  </si>
  <si>
    <t>Ceolotto et al. (2024)</t>
  </si>
  <si>
    <t xml:space="preserve">Coetsier CM, Spinelli S, Lin L, Roig B, Touraud E. Discharge of pharmaceutical products (PPs) through a conventional biological sewage treatment plant: MECs vs. PECs? Environ Int 2009;35:787–92. </t>
  </si>
  <si>
    <t xml:space="preserve">Daouk S, Chèvre N, Vernaz N, Widmer C, Daali Y, Fleury-Souverain S. Dynamics of active pharmaceutical ingredients loads in a swiss university hospital wastewaters and prediction of the related environmental risk for the aquatic ecosystems. Sci Total Environ 2016;547:244-53. </t>
  </si>
  <si>
    <t>Jagadeesan et al (2025). Predicting pharmaceutical concentrations and assessing risks in the aquatic environment using PERK: A case study of a catchment area in South-West England, Water Research, Volume 268, Part A, 2025</t>
  </si>
  <si>
    <t>Khan &amp; Ongerth (2002)</t>
  </si>
  <si>
    <t>Khan &amp; Ongerth (2004)</t>
  </si>
  <si>
    <t>Strenn et al (2004)</t>
  </si>
  <si>
    <t>Ternes (1998); Daugton &amp; Ternes (1999); Jjemba PK. Excretion and ecotoxicity of pharmaceutical and personal care products in the environment. Ecotox Environ Safe 2006;63:113–30</t>
  </si>
  <si>
    <t xml:space="preserve">Verlicchi P, Galletti A, Petrovic M, Barcelò D. Hospital Effluents as a Source of Emerging Pollutants: An Overview of Micropollutants and Sustainable Treatment Options. Journal of Hydrology 2010;389 (3-4): 416-428. </t>
  </si>
  <si>
    <t>Wöhler L, Niebaum G, Krol M, Hoekstra AY. The grey water footprint of human and veterinary pharmaceuticals. Water research X. 2020 May 1;7:100044.</t>
  </si>
  <si>
    <t>https://doi.org/10.1016/j.jhazmat.2023.132645</t>
  </si>
  <si>
    <t>https://doi.org/10.1016/j.envint.2009.01.008</t>
  </si>
  <si>
    <t>https://doi.org/10.1016/j.scitotenv.2015.12.117</t>
  </si>
  <si>
    <t>https://doi.org/10.1016/j.watres.2024.122643</t>
  </si>
  <si>
    <t>https://doi.org/10.1016/j.chemosphere.2003.07.001</t>
  </si>
  <si>
    <t>Hermolepsin® Retard® - FASS Healthcare Professionals</t>
  </si>
  <si>
    <t>https://doi.org/10.1016/j.jhydrol.2010.06.005</t>
  </si>
  <si>
    <t>Mean values of excretions factors in urine and feces as unchanged drugs, but do not account for metabolites</t>
  </si>
  <si>
    <t>Excretion rates are as parent compound in clinical settings. Values from Liu &amp; Delgado (1994) and Ternes (1998)</t>
  </si>
  <si>
    <t>Total ER includinng as hydrolosable conjugates. Note the 2002 paper report different value than in 2004 paper</t>
  </si>
  <si>
    <t>Total excretion based on review of Kummerer and Henninger, 2003, Zuccato et al., 2005, Lindqvist et al., 2005, Nakada et al., 2006, Kasprzyk-Hordern et al., 2008.</t>
  </si>
  <si>
    <t>Lienert et al. (2007)</t>
  </si>
  <si>
    <t>Databases (www.uptodate.com; www.compendium.ch)</t>
  </si>
  <si>
    <t>United States Pharmacopeia (2000)</t>
  </si>
  <si>
    <t>MERCK (2011), Pelkonen et al. (2001),  Hereber and Feldmann (2005)</t>
  </si>
  <si>
    <t>Kummerer and Henninger, 2003, Zuccato et al., 2005, Lindqvist et al., 2005, Nakada et al., 2006, Kasprzyk-Hordern et al., 2008.</t>
  </si>
  <si>
    <t>Anderson et al. (2002) Handbook of clinical drug data.</t>
  </si>
  <si>
    <t>Absorption from tablets is slow and erratic, with a bioavailability of 75–85%. Absorption is rapid with the suspension. 2% excreted unchanged via urine</t>
  </si>
  <si>
    <t xml:space="preserve">urine        </t>
  </si>
  <si>
    <t>Frey H.-H and Janz D. (1985) Antiepileptic Drugs, Handbook of Experimental Pharmacology, Vol. 74. Springer Verlag Berlin, Heidelberg, New York, Tokyo</t>
  </si>
  <si>
    <t>Verlicchi et al. (2014) Comparison of measured and predicted concentrations of selected pharmaceuticals in wastewater and surface water: A case study of a catchment area in the Po valley (Italy). Sci Total Environ 2014</t>
  </si>
  <si>
    <t>Other</t>
  </si>
  <si>
    <t>https://doi.org/10.1016/j.jhazmat.2022.129001</t>
  </si>
  <si>
    <t>DrugBank</t>
  </si>
  <si>
    <t>Isidori,M., M. Lavorgna, A. Nardelli, L. Pascarella, and A. Parrella. Toxic and Genotoxic Evaluation of Six Antibiotics on Non-Target Organisms. Sci. Total Environ.346(1-3): 87-98, 2005.</t>
  </si>
  <si>
    <t>https://doi.org/10.1016/j.watres.2022.119391</t>
  </si>
  <si>
    <t>Kannan et al. (2023)</t>
  </si>
  <si>
    <t>Ternes (1998); Jjemba PK. Excretion and ecotoxicity of pharmaceutical and personal care products in the environment. Ecotox Environ Safe 2006;63:113–30</t>
  </si>
  <si>
    <t>https://doi.org/10.1897/08-622.1</t>
  </si>
  <si>
    <t>Hannah, R., d'Aco, V.J., Anderson, P.D., Buzby, M.E., Caldwell, D.J., Cunningham, V.L., Ericson, J.F., Johnson, A.C., Parke, N.J., Samuelian, J.H. and Sumpter, J.P., 2009. Exposure assessment of 17α‐ethinylestradiol in surface waters of the United States and Europe. Environmental Toxicology and Chemistry, 28(12), pp.2725-2732</t>
  </si>
  <si>
    <t>https://doi.org/10.1016/S0048-9697(00)00481-2</t>
  </si>
  <si>
    <t>Johnson, A.C., Belfroid, A. and Di Corcia, A., 2000. Estimating steroid oestrogen inputs into activated sludge treatment works and observations on their removal from the effluent. Science of the Total Environment, 256(2-3), pp.163-173.</t>
  </si>
  <si>
    <t xml:space="preserve">Bound JP, Voulvoulis N. Predicted and measured concentrations for selected pharmaceuticals in the UK rivers: implications for risk assessment. Water Res 2006;40:2885–92 </t>
  </si>
  <si>
    <t xml:space="preserve">Lienert J, Bürki T, Escher BI. Reducing micropollutants with source control: Substance flow analysis of 212 pharmaceuticals in faeces and urine. Water Sci Technol 2007a;56(5):87-96. </t>
  </si>
  <si>
    <t>https://doi.org/10.1016/j.watres.2006.05.036</t>
  </si>
  <si>
    <t xml:space="preserve">https://pubmed.ncbi.nlm.nih.gov/3557734/ </t>
  </si>
  <si>
    <t>Stachowska B, Seńczuk W. Studies on kinetics of sulfadiazine and trimethoprim excretion in man. Int J Clin Pharmacol Ther Toxicol. 1987 Feb;25(2):81-5.</t>
  </si>
  <si>
    <t>https://doi.org/10.2165/00003088-200443130-00004</t>
  </si>
  <si>
    <t>Grond, S., Sablotzki, A. Clinical Pharmacology of Tramadol. Clin Pharmacokinet 43, 879–923 (2004).</t>
  </si>
  <si>
    <t>Referece</t>
  </si>
  <si>
    <t>Link</t>
  </si>
  <si>
    <t>predicted and measured</t>
  </si>
  <si>
    <t>https://doi.org/10.1016/j.scitotenv.2004.11.017</t>
  </si>
  <si>
    <t>Ternes reports excretion of unchanged (I think in urine only) and states a small percentage also excreted as glucuronides (reported to be ca. 30% in Ternes &amp; Joss (3006)). These values are referred to in many other studies, including Carballa et al (2008)</t>
  </si>
  <si>
    <t>Excretion of unchanged active molecule. Fexcreta values are those determined by Besse and Garric (2007) when available for the studied drugs. They include the proportion of the unchanged active molecule excreted in urine and/or in faeces and the proportion of the parent molecule excreted as conjugate</t>
  </si>
  <si>
    <t>Value cited in Jagadeeshan and Ceolotti</t>
  </si>
  <si>
    <t>https://www.researchgate.net/publication/11161377_Estimation_of_pharmaceutical_residues_in_primary_and_secondary_sewage_sludge_based_on_quantities_of_use_and_fugacity_modeling</t>
  </si>
  <si>
    <t>Verlicchi cites this study but only the unchanged values (21-31) assuming that the values for excretion via faeces (20-28) is unchanged, although it is stated that this includes metabolites. Here we are using the same number</t>
  </si>
  <si>
    <t>Excretion as unchanged drug in urine. Bioavailability is 70% (and absorption rate is 95-100%), hence up to 30% excretion in faeces could be added. Unable to check the cited sources</t>
  </si>
  <si>
    <t xml:space="preserve">Total ER (including as hydrolosable conjugates, although this is 0%). Cited by Carballa et al. (2008) and Mendoza </t>
  </si>
  <si>
    <t>Ternes (1998); Daugton &amp; Ternes (1999); Jjemba PK. Et al (2006); Ternes &amp; Joss (2006); Monteiro &amp; Boxall (2010); Verlicchi et al. (2014) Comparison of measured and predicted concentrations of selected pharmaceuticals in wastewater and surface water: A case study of a catchment area in the Po valley (Italy). Sci Total Environ 2014;470-471:844-54.</t>
  </si>
  <si>
    <t>Huschek et al. (2004); Mendoza et al. (2015)</t>
  </si>
  <si>
    <t>After oral administration of 14C-carbamazepine, 72% of the administered radioactivity was found in the urine and 28% was found in the feces. This urinary radioactivity was composed largely of hydroxylated and conjugated metabolites, with only 3% of unchanged carbamazepine</t>
  </si>
  <si>
    <t>Drugbank</t>
  </si>
  <si>
    <t>Verlicchi reports 12% excretion rate taken from the Ortiz de Garcia study. However, I think the 12%  refers to 12% of the absorbed amount. In the Ortiz de Garcia paper the absorbed amount is 90%; hence excretion via urine should be 0.12*0.90 and potentially 10% via faeces</t>
  </si>
  <si>
    <t>Sum of the excretion rate of unchanged via both urine and feces.</t>
  </si>
  <si>
    <t>Kummerer et al 2011</t>
  </si>
  <si>
    <t xml:space="preserve">Excretion in urine is after IV dose (i.e. after 100% absorbtion). </t>
  </si>
  <si>
    <t>Erythromycin</t>
  </si>
  <si>
    <t>Value refers to excretion in urine after IV dose. This value is also reported in Martindale (1999)</t>
  </si>
  <si>
    <t>Hydrochlorothiazide</t>
  </si>
  <si>
    <t>11, 17</t>
  </si>
  <si>
    <t>Ibuprofen</t>
  </si>
  <si>
    <t>Over 80% bioavailability. Less than 1% excreted unchanged via urine</t>
  </si>
  <si>
    <t>Naproxen</t>
  </si>
  <si>
    <t>Over 99% bioavailability. Less than 1% excreted unchanged via urine</t>
  </si>
  <si>
    <t>Diclofenac</t>
  </si>
  <si>
    <t>Paracetamol</t>
  </si>
  <si>
    <t>RxList (Shand et al. (1970) Plasma propranolol levels in adults with observations in four children).</t>
  </si>
  <si>
    <t>Excretion as unchanged and conjugates. Values from Khan and Ongerth (2004), Hirsch et al. (1999)</t>
  </si>
  <si>
    <t>Khan and Ongerth (2004)</t>
  </si>
  <si>
    <t>Rice et al.,[40] + Ceolotto et al. (2024)</t>
  </si>
  <si>
    <t>Besse and Garric (2007)</t>
  </si>
  <si>
    <t>55-82</t>
  </si>
  <si>
    <t>ECOTOX | Search (epa.gov)</t>
  </si>
  <si>
    <t>Excretion rates are as parent compound in clinical settings. Values from Martindale (1999)</t>
  </si>
  <si>
    <t>Excretion rates are as parent compound in clinical settings. Values from Allen et al. (1982) and  Martindale (1999)</t>
  </si>
  <si>
    <t>Excretion rates are as parent compound in clinical settings. Values from Davies et al. (1998) and Ternes (1998)</t>
  </si>
  <si>
    <t>Excretion rates are as parent compound in clinical settings. Values from Lewin et al. (1973) and Ternes (1998)</t>
  </si>
  <si>
    <t>Excretion rates are as parent compound in clinical settings. Values from Meshi and Sato (1971) and Hirsch et al. (1999)</t>
  </si>
  <si>
    <t>Total ER including as hydrolosable conjugates</t>
  </si>
  <si>
    <t>Assume it is total excretion as parent (given the modelling appraoch used). I can't check the sources of information used</t>
  </si>
  <si>
    <t>Gerding et al. (1991) Extravascular antimicrobial distribution and the respective blood concentrations in human. V Lorian (Ed.), Antibiotics in laboratory medicine (3rd edn.), Williams &amp; Wilkins (1991), pp. 880-961;  C Simon, W Stille
Antibiotikatherapie in klinik und praxis (8th edn.), Schlattauer, Stuttgart, New York</t>
  </si>
  <si>
    <t>Verlicchi cites this study but only the unchanged values (40-95)</t>
  </si>
  <si>
    <t>Verlicchi cites this study but only the unchanged values (6-26)</t>
  </si>
  <si>
    <t>Verlicchi cites this study but only the unchanged values (11-47)</t>
  </si>
  <si>
    <t>Verlicchi cites this study but only the unchanged values (20%)</t>
  </si>
  <si>
    <t>Excretion as unchanged drug. Assume total rate</t>
  </si>
  <si>
    <t>Boleda et al. (2013), Huschek et al. (2004), Khan and Ongerth (2004)</t>
  </si>
  <si>
    <t>Boleda et al. (2013), Göbel et al. (2005), Huschek et al. (2004), Ternes (1998)</t>
  </si>
  <si>
    <t>Boleda et al. (2013), Huschek et al. (2004), Khan and Ongerth (2004), Ternes (1998)</t>
  </si>
  <si>
    <t>Boleda et al. (2013), Khan and Ongerth (2004)</t>
  </si>
  <si>
    <t>Göbel et al. (2005)</t>
  </si>
  <si>
    <t>Anderson, Knoben JE, Troutman WG (2002) Handbook of Clinical Drug Data</t>
  </si>
  <si>
    <t xml:space="preserve">Maximum excretion as unchanged. </t>
  </si>
  <si>
    <t>WebMD (2012), MERCK (2011)</t>
  </si>
  <si>
    <t>Verlicchi reports 15% excretion rate taken from the Ortiz de Garcia study. However, I think this refers to 15% of the absorbed amount. In the Ortiz de Garcia paper the absorbed amount is 55%; hence excretion via urine should be 0.15*0.55</t>
  </si>
  <si>
    <t>MERCK (2011), World Health Organization (2011), Hereber and Feldmann (2005)</t>
  </si>
  <si>
    <t>WebMD (2012)</t>
  </si>
  <si>
    <t>25% excretion rate is reported. However, I think this refers to the excretion of the absorbed amount, which is 45%; hence excretion via urine should be 0.25*0.45</t>
  </si>
  <si>
    <t>MERCK (2011), World Health Organization (2011)</t>
  </si>
  <si>
    <t>10% excretion rate is reported. However, I think this refers to the excretion of the absorbed amount, which is 85%; hence excretion via urine should be 0.1*0.85</t>
  </si>
  <si>
    <t>WebMD (2012), MERCK (2011), World Health Organization (2011)</t>
  </si>
  <si>
    <t>6% excretion rate is reported. However, I think this refers to the excretion of the absorbed amount, which is 95%; hence excretion via urine should be 0.06*0.95</t>
  </si>
  <si>
    <t>Spanish Agency of Medicines and Health Products (2011); Carballa et al. (2008)</t>
  </si>
  <si>
    <t>30% excretion rate is reported. However, I think this refers to the excretion of the absorbed amount, which is 80%; hence excretion via urine should be 0.3*0.85</t>
  </si>
  <si>
    <t>80% excretion rate is reported. However, I think this refers to the excretion of the absorbed amount, which is 95%; hence excretion via urine should be 0.8*0.95</t>
  </si>
  <si>
    <t>Excretion as unchanged compound in urine</t>
  </si>
  <si>
    <t>60% excreted via urine as glucuronidesand less than 1% in unchanged form</t>
  </si>
  <si>
    <t>Ternes report total excretion of unchanged and glucuronides</t>
  </si>
  <si>
    <t>Verlicchi et al 2014 cites the values from Ternes &amp; Joss (2006)</t>
  </si>
  <si>
    <t>Ternes &amp; Joss (2006)</t>
  </si>
  <si>
    <r>
      <t xml:space="preserve">Refers to a value of 4% taken from RxList (Shand et al., 1970). The following paper (Forrest et al., Clinical pharmacokinetics of paracetamol. Clin Pharmacokinet, 1982, Mar-Apr;7(2):93-107. doi: 10.2165/00003088-198207020-00001) states: </t>
    </r>
    <r>
      <rPr>
        <i/>
        <sz val="8"/>
        <color theme="1"/>
        <rFont val="Aptos Narrow"/>
        <family val="2"/>
        <scheme val="minor"/>
      </rPr>
      <t xml:space="preserve">In healthy subjects 85 to 95% of a therapeutic dose is excreted in the urine within 24 hours with about 4, 55, 30, 4 and 4% appearing as unchanged paracetamol and its glucuronide, sulphate, mercapturic acid and cysteine conjugates, respectively. </t>
    </r>
    <r>
      <rPr>
        <sz val="8"/>
        <color theme="1"/>
        <rFont val="Aptos Narrow"/>
        <family val="2"/>
        <scheme val="minor"/>
      </rPr>
      <t>Not sure what this exactly means, but I think the Besse et al. paper assumes that pharma excreted as e.g. glucuronide conjugates are also considered unchanged form of the pharma.</t>
    </r>
  </si>
  <si>
    <t>Secondary ref link</t>
  </si>
  <si>
    <t xml:space="preserve">Total excretion as unchanged compound. Excretion of metabolites, 10,11-dihydro-10-hydroxycarbamazepine and Carbamazepine-10,11-epoxide, are 41.98% and 1.2% (metabolites excretion given in Ceolotti et al.). Carbamazepine is mostly present in faeces (10–15%) with 1% in urine, and as conjugated glucuronides. Not sure if the 10-15% in faeces and 1% in urine is unchanged or mainly as conjugates, but think it is total. Value include % of the active molecule that is excreted unchanged in the urine and/or faeces as well as the % of the parent molecule that is excreted as conjugates, assuming that the conjugates are cleaved to the parent drug in the environment. </t>
  </si>
  <si>
    <t>Comment</t>
  </si>
  <si>
    <t>Value used in study by Ceolotti et al. and Jagadeeshan et al.</t>
  </si>
  <si>
    <t>Castoldi D, Monzani V, Tofanetti O. Determination of bezafibrate in human plasma and urine by high-performance liquid chromatography. J Chromatogr. 1985 Nov 8;344:259-65. doi: 10.1016/s0378-4347(00)82026-5. PMID: 4086546.</t>
  </si>
  <si>
    <t>Ledermann H, Kaufmann B. Comparative Pharmacokinetics of 400 mg Bezafibrate after a Single Oral Administration of a New Slow-Release Preparation and the Currently Available Commercial Form. Journal of International Medical Research. November 1981:516-520. doi:10.1177/030006058100900616</t>
  </si>
  <si>
    <t>70-80% absobtion of oral dose. Excretion of unchanged drug is 45-60% after a parenteral dose (i.e. IV dose). The remaining as metabolites or via faeces</t>
  </si>
  <si>
    <t xml:space="preserve">71% oral bioavailability (i.e. assume remaining 29% excreted with faeces). Over 95% is excreted unchanged in urine by filtration and secretion. </t>
  </si>
  <si>
    <t>Rodvold KA, Piscitelli SC. New oral macrolide and fluoroquinolone antibiotics: an overview of pharmacokinetics, interactions, and safety. Clin Infect Dis 1993;17(suppl 1):S192–9.; 
Schentag JJ, Gross TF. Quinolone pharmacokinetics in the elderly. Am J Med 1992;92(suppl 4A):33S–7; 
Nightingale CH. Pharmacokinetic considerations in quinolone therapy. Pharmacotherapy 1993;13:34S–8; 
Radandt JM et al. Interactions of fluoroquinolones with other drugs mechanisms, variability, clinical significance, and management. Clin Infect Dis 1992;14:272–84;
Dudley MN et al. Effect of dose on the serum pharmacokinetics of intravenous ciprofloxacin with identification and characterization of extravascular compartments using noncompartmental and compartmental pharmacokinetic models. Antimicrob Agents Chemother 1987;31:1782–6;
Forrest A et al. Relationships between renal function and disposition of oral ciprofloxacin. Antimicrob Agents Chemother 1988;32:1537–40</t>
  </si>
  <si>
    <t>Benet LZ et al. Design and optimization of dosage regimens: pharmacokinetic data. In, Hardman JG et al., eds. Goodman and Gilman’s the pharmacological basis of therapeutics. 9th ed. New York: McGraw-Hill; 1996:1707–92;  
Brittain DC. Erythromycin. Med Clin North Am 1987;71:1147–54</t>
  </si>
  <si>
    <t>Benet LZ et al. Design and optimization of dosage regimens: pharmacokinetic data. In, Hardman JG et al., eds. Goodman and Gilman’s the pharmacological basis of therapeutics. 9th ed. New York: McGraw-Hill; 1996:1707–92;  
Rodvold KA, Piscitelli SC. New oral macrolide and fluoroquinolone antibiotics: an overview of pharmacokinetics, interactions, and safety. Clin Infect Dis 1993;17(suppl 1):S192–9;
Brittain DC. Erythromycin. Med Clin North Am 1987;71:1147–54</t>
  </si>
  <si>
    <t>90-100% absorbed orally (hence assume 0-10% excreted with faeces).  SMZ undergoes extensive liver metabolism, producing N4 -acetylated and N4-glucuronidated derivatives; 85% is excreted in the urine within 24–72 hr, 10–30% as unchanged drug</t>
  </si>
  <si>
    <t>90-100% absorbed orally (hence assume 0-10% excreted with faeces). Nearly all TMP is excreted in the urine within 24–72 hr, 50–75% as unchanged drug</t>
  </si>
  <si>
    <t>5% excreted unchanged in urine. 55-82% unabsorbed and assumed excreted in faeces as unchanged</t>
  </si>
  <si>
    <t>https://doi.org/10.1016/S0043-1354(98)00099-2</t>
  </si>
  <si>
    <t>Sources: Forth et al., 1996; Mutschler, 1996; Hardman et al., 1996</t>
  </si>
  <si>
    <t>Laura Ferrando-Climent, Comprehensive study of ibuprofen and its metabolites in activated sludge batch experiments and aquatic environment, 2012</t>
  </si>
  <si>
    <t>A. C. Rudy, Stereoselective Metabolism of Ibuprofen in Humans: Administration of R-, S- and Racemic lbuprofen, 1991</t>
  </si>
  <si>
    <t>Marinel la Farre, Fate and toxicity of emerging pollutants, their metabolites and transformation products in the aquatic environment, 2008</t>
  </si>
  <si>
    <t>T.A. Ternes, Behaviour and occurrence of estrogens in municipal sewage treatment plants — II. Aerobic batch experiments with activated sludge, 1999</t>
  </si>
  <si>
    <t>A. M. Evans, THE RELATIONSHIP BETWEEN THE PHARMACOKINETICS OF IBUPROFEN ENANTIOMERS AND THE DOSE OF RACEMIC IBUPROFEN IN HUMANS, 1990</t>
  </si>
  <si>
    <t>S. C. Tan, Stereoselectivity of ibuprofen metabolism and pharmacokinetics following the administration of the racemate to healthy volunteers, 2002</t>
  </si>
  <si>
    <t>S. C. Tan, Stereospecific analysis of the major metabolites of ibuprofen in urine by sequential achiral-chiral high-performance liquid chromatography, 1997</t>
  </si>
  <si>
    <t>B. Chai, DETERMINATION OF IBUPROFEN AND ITS MAJOR METABOLITES IN HUMAN URINE BY HIGH-PERFORMANCE LIQUID CHROMATOGRAPHY, 1988</t>
  </si>
  <si>
    <t>G. F. Lockwood, HIGH-PERFORMANCE LIQUID CHROMATOGRAPHIC DETERMINATION OF IBUPROFEN AND ITS MAJOR METABOLITES IN BIOLOGICAL FLUIDS , 1982</t>
  </si>
  <si>
    <t>Silwia Magiera, Ultrasound-assisted emulsification microextraction combined with ultra-high performance liquid chromatography-tandem mass spectrometry for the analysis of ibuprofen and its metabolites in human urine, 2014</t>
  </si>
  <si>
    <t>N M Davies, Clinical pharmacokinetics of ibuprofen - The first 30 years, 1998</t>
  </si>
  <si>
    <t>Y. Sugawara, Studies of the fate of Naproxen II. Metabolic Fate in Various Animals and Man</t>
  </si>
  <si>
    <t>A Aresta, Determination of naproxen in human urine by solid-phase microextraction coupled to liquid chromatography, 2005</t>
  </si>
  <si>
    <t>T. B. Vree, Determination of naproxen and its metabolite O- desmethylnaproxen with their acyl glucuronides in human plasma and urine by means of direct gradient high- performance liquid chromatography , 1992</t>
  </si>
  <si>
    <t>Human: Male</t>
  </si>
  <si>
    <t>Human:</t>
  </si>
  <si>
    <t>T. Hirai, Simultaneous analysis of several non-steroidal anti-inflammatory drugs in human urine by high-performance liquid chromatography with normal solid-phase extraction, 1997</t>
  </si>
  <si>
    <t>J. Vanggaard Anderson, Simultaneous quantitative determination of naproxen, its metabolite 6-0-desmethylnaproxen and their five conjugates in plasma and urine samples by high- performance liquid chromatography on dynamically modified silica, 1992</t>
  </si>
  <si>
    <t>R. Runkel, Pharmacokinetics of naproxen overdoses, 1976</t>
  </si>
  <si>
    <t>J Sadecka, Determination of naproxen and its metabolite, 6-O-desmethylnaproxen, in human urine by capillary isotachophoresis, 2005</t>
  </si>
  <si>
    <t>N M Davies, Clinical pharmacokinetics of naproxen, 1997</t>
  </si>
  <si>
    <t>N M Davies, Clinical pharmacokinetics of diclofenac - Therapeutic insights and pitfalls, 1997</t>
  </si>
  <si>
    <t>R J Sawchuk, ANALYSIS OF DICLOFENAC AND 4 OF ITS METABOLITES IN HUMAN URINE BY HPLC, 1995</t>
  </si>
  <si>
    <t>D. Stulten, Occurrence of diclofenac and selected metabolites in sewage effluents, 2008</t>
  </si>
  <si>
    <t>Y. Zhang, Carbemazepine and Diclofenac: Removal in
wastewater treatment plans and occurrence
in water bodies, 2008</t>
  </si>
  <si>
    <t>A. Llerena, Interethnic differences in the relevance of CYP2C9 genotype and environmental factors for diclofenac metabolism in Hispanics from Cuba and Spain, 2014</t>
  </si>
  <si>
    <t>P. A. Todd, Diclofenac Sodium: A Reappraisal of its Pharmacodynamic and Pharmacokinetic Properties, and Therapeutic Efficacy, 1988</t>
  </si>
  <si>
    <t>urine (+faeces?)</t>
  </si>
  <si>
    <t>S Koling, Monitoring paracetamol metabolism after single and repeated administration in pediatric patients with neoplastic diseases, 2007</t>
  </si>
  <si>
    <t>Karel Allegaert, Paracetamol pharmacokinetics and metabolism in young women, 2015</t>
  </si>
  <si>
    <t>J. O. Miners, Determinants of acetaminophen metabolism: Effect of inducers and inhibitors of drug-metabolism on acetaminophens metabolic pathways, 1983</t>
  </si>
  <si>
    <t>L. F. Prescott, Kinetics and Metabolism of paracetamol and phenacetin</t>
  </si>
  <si>
    <t>J. O. Miners, Influence of Sex and oral contraceptive steroids on paracetamol metabolism, 1983</t>
  </si>
  <si>
    <t>Forrest J. A. H, Clinical Pharmacokinetics of Paracetamol, 1982</t>
  </si>
  <si>
    <t>L. F. Prescott, Paracetamol Disposition and Metabolite Kinetics in Patients with Chronic Renal Failure, 1989</t>
  </si>
  <si>
    <t>L S Chen, Decrease of plasma and urinary oxidative metabolites of acetaminophen after consumption of watercress by human volunteers, 1996</t>
  </si>
  <si>
    <t>10.1007/s10661-015-5011-7</t>
  </si>
  <si>
    <t xml:space="preserve">Excretion rates are as parent compound in clinical settings. Values from Campoli-Richards et al. (1988) and Volmer et al. (1997). Bioavailability (assumed equal to absorption) is 50-70%, hence faecal excretion is assumed to be 30-50%.
I think the excretion of 83.7% is total excretion - but it could be the excretion of absorbed amount, in which case the total ER would be between: 50%*83.7%+50% and 70%*83.7%+30% which would be around 90% </t>
  </si>
  <si>
    <t>nr</t>
  </si>
  <si>
    <t>Conjugated</t>
  </si>
  <si>
    <t>M5</t>
  </si>
  <si>
    <t>Boleda et al. (2013). Cited in Mendoza et al. (2015).</t>
  </si>
  <si>
    <t>https://doi.org/10.1016/j.chroma.2013.02.077</t>
  </si>
  <si>
    <t>Range: 35-65%. Cited in Mendoza et al.</t>
  </si>
  <si>
    <t>Ternes report total excretion of unchanged and glucuronides. Cited by Jjemba (2006)</t>
  </si>
  <si>
    <t xml:space="preserve">Kasprzyk-Hordern et al., 2008. Cited in Verlicchi P, Galletti A, Petrovic M, Barcelò D. Hospital Effluents as a Source of Emerging Pollutants: An Overview of Micropollutants and Sustainable Treatment Options. Journal of Hydrology 2010;389 (3-4): 416-428. </t>
  </si>
  <si>
    <t>Kasprzyk-Hordern et al., 2008.</t>
  </si>
  <si>
    <t>Lindqvist et al., 2005</t>
  </si>
  <si>
    <t>Total excretion based on review.</t>
  </si>
  <si>
    <t>Hirsch et al. (1999)</t>
  </si>
  <si>
    <t>25–30% of an oral dose […] excreted unchanged in the urine. In a study involving nine cholecystectomised patients, only 1% of tramadol and its metabolites were eliminated via biliary excretion.</t>
  </si>
  <si>
    <t>Source cited in Mendoza: Boleda et al. (2013), Göbel et al. (2005), Huschek et al. (2004), Khan and Ongerth (2004)</t>
  </si>
  <si>
    <t>https://doi.org/10.1093/jac/26.4.533</t>
  </si>
  <si>
    <t>Cooper et al. (1990). The pharmacokinetics and inflammatory fluid penetration of orally administered azithromycin</t>
  </si>
  <si>
    <t>Foulds G et al. (1990) The pharmacokinctics of azithromycin in human serum and tissues. Journal of Antimicrobial Chemotherapy 1990, 25, Supplement A: 73-82</t>
  </si>
  <si>
    <t>Lode (1991). The Pharmacokinetics of Azithromycin and Their Clinical Significance</t>
  </si>
  <si>
    <t>https://www.rxlist.com/zithromax-drug.htm#clinpharm</t>
  </si>
  <si>
    <t>Rxlist</t>
  </si>
  <si>
    <t>CD van der Marel, Paracetamol and metabolite pharmacokinetics in infants, 2003 citing review by Prescott</t>
  </si>
  <si>
    <t>Kannan et al. (2022)</t>
  </si>
  <si>
    <t>Lintz W, Erlacin S, Frankus E, et al. Biotransformation of tramadol in man and animal [in German]. Arzneimittel Forschung 1981; 31(11): 1932–43</t>
  </si>
  <si>
    <t>Excretion of unchanged tramadol in urine (Table II).  Values for metabolites as well. Review of studies.</t>
  </si>
  <si>
    <t>https://pubmed.ncbi.nlm.nih.gov/7198474/</t>
  </si>
  <si>
    <t>10.1007/s002280050368</t>
  </si>
  <si>
    <t>https://doi.org/10.1080/00498250110113230</t>
  </si>
  <si>
    <t>Wu et al. 2003</t>
  </si>
  <si>
    <t>Drugbank; Rxlist; Mackul’ak et al. (2016)</t>
  </si>
  <si>
    <t>urine (+ faeces?)</t>
  </si>
  <si>
    <t xml:space="preserve">Martindale (2002). Complete Drug Reference </t>
  </si>
  <si>
    <t>bioavailability is 70-75%</t>
  </si>
  <si>
    <t>40% bioavailable</t>
  </si>
  <si>
    <t>bioavialbility 85-100%</t>
  </si>
  <si>
    <t>Unchanged_urine</t>
  </si>
  <si>
    <t>Unchanged_faeces</t>
  </si>
  <si>
    <t>Unchanged_total</t>
  </si>
  <si>
    <t xml:space="preserve">From Lode et al. (1991): […] suggesting biliary concentration (Shepard &amp; Falkner, 1990). Over half the drug-related material in the bile is unchanged. </t>
  </si>
  <si>
    <t>Metabolites_urine</t>
  </si>
  <si>
    <t>Metabolites_faeces</t>
  </si>
  <si>
    <t>Metabolites_total</t>
  </si>
  <si>
    <t>Tolou‑Ghamari et al. (2013)</t>
  </si>
  <si>
    <t>https://pmc.ncbi.nlm.nih.gov/articles/PMC3743329/</t>
  </si>
  <si>
    <t xml:space="preserve">https://www.accessdata.fda.gov/drugsatfda_docs/label/2016/021710s11s012lbl.pdf </t>
  </si>
  <si>
    <t>Rxlist, Drugbank, FDA Approved Drug Products: EQUETRO (carbamazepine) extended-release capsules</t>
  </si>
  <si>
    <t>https://doi.org/10.1016/j.wroa.2020.100044</t>
  </si>
  <si>
    <t>https://doi.org/10.1128/aac.29.2.298</t>
  </si>
  <si>
    <t>10.1007/BF02013984</t>
  </si>
  <si>
    <t>https://link.springer.com/article/10.1007/BF02013983</t>
  </si>
  <si>
    <t>single dose 50 mg</t>
  </si>
  <si>
    <t>single dose 100 mg</t>
  </si>
  <si>
    <t>single dose 250 mg</t>
  </si>
  <si>
    <t>single dose 200 mg</t>
  </si>
  <si>
    <t>single dose 500 mg</t>
  </si>
  <si>
    <t>single dose 750 mg</t>
  </si>
  <si>
    <t>Clarithromycin is extensively metabolised in the liver, and excreted in faeces via the bile; 5 to 10% of the parent drug is recovered from the faeces. At steady state, about 20% and 30% of a 250-mg or 500-mg dose as tablets, respectively, and about 40% of a 250-mg dose as suspension, is excreted in the urine as unchanged drug.</t>
  </si>
  <si>
    <t>Holton et al. (2022) report 41.9% for 6 healthy</t>
  </si>
  <si>
    <t>Holton et al. (2022) report 12.9% for 6 patients</t>
  </si>
  <si>
    <t>10.1093/jac/17.5.629</t>
  </si>
  <si>
    <t>https://www.bayer.com/sites/default/files/2020-11/cipro-xl-pm-en.pdf</t>
  </si>
  <si>
    <t>10.1128/AAC.26.5.757</t>
  </si>
  <si>
    <t>https://link.springer.com/article/10.1007/BF03189885</t>
  </si>
  <si>
    <t>https://doi.org/10.1007/BF01650502</t>
  </si>
  <si>
    <t>https://link.springer.com/article/10.1007/BF01977494</t>
  </si>
  <si>
    <t>https://doi.org/10.1128/aac.26.2.208</t>
  </si>
  <si>
    <t>https://link.springer.com/article/10.1007/BF01667843</t>
  </si>
  <si>
    <t>https://doi.org/10.1128/aac.26.5.741</t>
  </si>
  <si>
    <t>10.1128/aac.27.3.375</t>
  </si>
  <si>
    <t xml:space="preserve"> https://doi.org/10.1002/j.1552-4604.1985.tb02806.x</t>
  </si>
  <si>
    <t>https://doi.org/10.1007/s13346-017-0442-z</t>
  </si>
  <si>
    <t>Cumulative excreted mass in urine was 96.6 mg after oral administration of 500 mg tablet</t>
  </si>
  <si>
    <t>https://doi.org/10.1016/j.jchromb.2016.08.008</t>
  </si>
  <si>
    <t>https://farmaciajournal.com/wp-content/uploads/2015-05-art-18-Stoica_Cipian_739-744.pdf</t>
  </si>
  <si>
    <t xml:space="preserve"> 10.1111/j.1365-2125.2009.03564.x</t>
  </si>
  <si>
    <t>Table 2 in paper</t>
  </si>
  <si>
    <t>https://doi.org/10.1016/j.ijantimicag.2006.07.026</t>
  </si>
  <si>
    <t xml:space="preserve"> https://doi.org/10.1177/0091270005280542</t>
  </si>
  <si>
    <t>10.1093/jac/33.4.795</t>
  </si>
  <si>
    <t>https://doi.org/10.1128/aac.36.11.2512</t>
  </si>
  <si>
    <t>bioavailability of oral dose estimated to 57%</t>
  </si>
  <si>
    <t>bioavailability of oral dose estimated to 80%</t>
  </si>
  <si>
    <t>values are for solution or capsule released taken orally</t>
  </si>
  <si>
    <t>value is for capsule released in stomach</t>
  </si>
  <si>
    <t>jejenum</t>
  </si>
  <si>
    <t>colon</t>
  </si>
  <si>
    <t>value is for capsule released in jejenum and ileum, hence much lower adsorbtion/bioavailability meaning larger fraction excreted</t>
  </si>
  <si>
    <t>value is for capsule released in colom and descending colon, hence much lower adsorbtion/bioavailability meaning larger fraction excreted</t>
  </si>
  <si>
    <t>10.1159/000238751</t>
  </si>
  <si>
    <t>https://doi.org/10.1128/aac.33.11.1841</t>
  </si>
  <si>
    <t>ciprofloxacin taken with iron</t>
  </si>
  <si>
    <t>ciprofloxacin taken with MVZ</t>
  </si>
  <si>
    <t>10.1111/j.1365-2125.1990.tb03740.x.</t>
  </si>
  <si>
    <t>don't have access to this paper, but looks similar to Harder et al. 1990. suspect lower values are for release in differfent parts of the body</t>
  </si>
  <si>
    <t>10.1007/BF01967470</t>
  </si>
  <si>
    <t>absorbed fraction (bioavailability) is estimated as 58%, 72%, 63% and 79% (Table 3)</t>
  </si>
  <si>
    <t xml:space="preserve"> https://doi.org/10.1002/j.1552-4604.1988.tb03202.x</t>
  </si>
  <si>
    <t xml:space="preserve"> 10.1128/aac.31.6.915</t>
  </si>
  <si>
    <t>bioavailability is 70% (table 2)</t>
  </si>
  <si>
    <t>bioavailability is 72.4% (table 2)</t>
  </si>
  <si>
    <t>https://journals.asm.org/doi/pdf/10.1128/aac.31.5.709</t>
  </si>
  <si>
    <t>https://pubmed.ncbi.nlm.nih.gov/3578334/</t>
  </si>
  <si>
    <t>https://link.springer.com/article/10.1007/BF00606636</t>
  </si>
  <si>
    <t>https://journals.asm.org/doi/pdf/10.1128/aac.30.3.444</t>
  </si>
  <si>
    <t>https://journals.asm.org/doi/pdf/10.1128/aac.30.3.440</t>
  </si>
  <si>
    <t>bioavailability estimated to 69%</t>
  </si>
  <si>
    <t xml:space="preserve"> https://doi.org/10.1002/j.1552-4604.1986.tb02938.x</t>
  </si>
  <si>
    <t>https://doi.org/10.1128/aac.29.1.62</t>
  </si>
  <si>
    <t>10.1007/BF01644804</t>
  </si>
  <si>
    <t>https://journals.asm.org/doi/pdf/10.1128/aac.28.1.74</t>
  </si>
  <si>
    <t>https://doi.org/10.1093/jac/16.1.87</t>
  </si>
  <si>
    <t>10.1128/aac.27.3.350</t>
  </si>
  <si>
    <t>average of HPLC values (Table 2)</t>
  </si>
  <si>
    <t>average of bioassay values (Table 2)</t>
  </si>
  <si>
    <t>https://link.springer.com/article/10.1007/BF01977496</t>
  </si>
  <si>
    <t>10.1128/aac.24.5.784</t>
  </si>
  <si>
    <t>cannot access these so unable to check</t>
  </si>
  <si>
    <t>not sure what this paper is. Unable to find the paper and check</t>
  </si>
  <si>
    <t>Frost et al. 1992</t>
  </si>
  <si>
    <t>https://pmc.ncbi.nlm.nih.gov/articles/PMC189440/pdf/aac00038-0166.pdf</t>
  </si>
  <si>
    <t>https://journals.asm.org/doi/pdf/10.1128/aac.36.11.2447</t>
  </si>
  <si>
    <t>https://doi.org/10.1016/0195-6701(91)90215-T</t>
  </si>
  <si>
    <t>https://link.springer.com/article/10.1007/s10337-019-03809-7</t>
  </si>
  <si>
    <t>DrugBank, Rxlist</t>
  </si>
  <si>
    <t>https://doi.org/10.1038/tpj.2013.28</t>
  </si>
  <si>
    <t>van der Marel (2004) Diclofenac and metabolite pharmacokinetics in children, 2004</t>
  </si>
  <si>
    <t>https://doi.org/10.1111/j.1460-9592.2004.01232.x</t>
  </si>
  <si>
    <t>https://doi.org/10.1016/j.jenvman.2015.06.037</t>
  </si>
  <si>
    <t>D Landsdorp, Pharmacokinetics of rectal diclofenac and its hydroxy metabolites in man, 1990</t>
  </si>
  <si>
    <t>https://doi.org/10.2165/00003495-198835030-00004</t>
  </si>
  <si>
    <t>https://doi.org/10.2165/00003088-199733030-00003</t>
  </si>
  <si>
    <t xml:space="preserve">60% of total dose is excreted via urine. </t>
  </si>
  <si>
    <t>Martindale (2002). Complete Drug Reference + Rxlist</t>
  </si>
  <si>
    <t>Rxlist: Approximately 65% of the dose is excreted in the urine and 35% in the bile.[...] Conjugates of unchanged diclofenac account for 5% to 10% of the dose excreted in the urine and for less than 5% excreted in the bile. Little or no unchanged unconjugated drug is excreted. Conjugates of the principal metabolite account for 20% to 30% of the dose excreted in the urine and for 10% to 20% of the dose excreted in the bile.
Conjugates of three other metabolites together account for 10% to 20% of the dose excreted in the urine and for small amounts excreted in the bile. The elimination half-life values for these metabolites are shorter than those for the parent drug. Urinary excretion of an additional metabolite (half-life = 80 hours) accounts for only 1.4% of the oral dose</t>
  </si>
  <si>
    <t xml:space="preserve">Lode (1991). The Pharmacokinetics of Azithromycin and Their Clinical Significance </t>
  </si>
  <si>
    <t>https://pubmed.ncbi.nlm.nih.gov/367255/</t>
  </si>
  <si>
    <t>Mantyla et al. 1978. Bioavailability and effect of food on the gastrointestinal absorption of two erythromycin derivatives</t>
  </si>
  <si>
    <t>https://doi.org/10.1111/j.1365-2125.1990.tb03613.x</t>
  </si>
  <si>
    <t>Schneider et al. (1990). Biliary elimination of non-steroidal anti-inflammatory drugs in patients</t>
  </si>
  <si>
    <t>At least 61% of the oral dose is eliminated unchanged within 24 hours</t>
  </si>
  <si>
    <t>https://doi.org/10.2165/00003495-199040010-00006</t>
  </si>
  <si>
    <t>Todd, P.A., Clissold, S.P. Naproxen. Drugs 40, 91–137 (1990)</t>
  </si>
  <si>
    <t>Approximately 95% of a radiolabelled dose of naproxen is recovered in urine and 3% or less in faeces. 70% of the drug is excreted as unchanged naproxen and the remainder is metabolised to an inactive 6-demethyl metabolite, probably by hepatic microsomal oxidation. The parent compound and metabolite are excreted free or as glucuronide or sulphate conjugates</t>
  </si>
  <si>
    <t>After oral administration, about 95% of naproxen and it's metabolites can be recovered in the urine with 66-92% recovered as conjugated metabolite and less than 1% recovered as naproxen or desmethylnaproxen. Less than 5% of naproxen is excreted in the feces</t>
  </si>
  <si>
    <t>Drugbank, rxlist</t>
  </si>
  <si>
    <t>https://doi.org/10.2165/00003088-199732040-00002</t>
  </si>
  <si>
    <t>Kaufmann et al. (1982). Pharmacokinetics and metabolism of naproxen in children</t>
  </si>
  <si>
    <t>https://pubmed.ncbi.nlm.nih.gov/7151646/</t>
  </si>
  <si>
    <t xml:space="preserve">71% of total drug recovered in urine was naproxen, and 29% was excreted as the desmethyl metabolite. 60 and 63% of naproxen and desmethyl naproxen, respectively, were excreted as conjugates. This suggests that unchanged naproxen is 0.4*71% and conjugated naproxen is 0.6*71%. </t>
  </si>
  <si>
    <t>Makela 1977. Naproxen in the Treatment of Juvenile Rheumatoid Arthritis: Metabolism, safety and efficacy</t>
  </si>
  <si>
    <t>https://doi.org/10.3109/03009747709095449</t>
  </si>
  <si>
    <t>Huma</t>
  </si>
  <si>
    <t>T. B. Vree, 1993. The pharmacokinetics of naproxen, its metabolite O-desmethylnaproxen, and their acyl glucuronides in humans. Effect of cimetidine</t>
  </si>
  <si>
    <t xml:space="preserve"> https://doi.org/10.1111/j.1365-2125.1993.tb04171.x</t>
  </si>
  <si>
    <t>Human with cimetidine</t>
  </si>
  <si>
    <t>Acetaminophen metabolites are mainly excreted in the urine. Less than 5% is excreted in the urine as unconjugated (free) acetaminophen and more than 90% of the administered dose is excreted within 24 hours. Approximately 85% of an oral dose appears in the urine within 24 hours of administration, most as the glucuronide conjugate, with small amounts of other conjugates and unchanged drug</t>
  </si>
  <si>
    <t>The major metabolite in the urine is N-oxide, which represents less than 4% of the dose. Other metabolites of ranitidine include S-oxide (1%) and desmethyl ranitidine (1%).11,13 The feces contain the remainder of the excreted ranitidine dose. This drug is mainly excreted in the urine but also excreted in the feces.7,13 About 30% of a single oral dose has been measured in the urine as unchanged drug within 24 hours of ingestion.11</t>
  </si>
  <si>
    <t>https://www.accessdata.fda.gov/drugsatfda_docs/label/2009/019090s053,019593s042lbl.pdf</t>
  </si>
  <si>
    <t>https://s3-us-west-2.amazonaws.com/drugbank/fda_labels/DB00863.pdf?1554416645</t>
  </si>
  <si>
    <t>https://doi.org/10.1007/BF03190382</t>
  </si>
  <si>
    <t>Ogunleye, D.S. Investigation of racial variations in the metabolism of tramadol. Eur. J. Drug Metab. Pharmacokinet. 26, 95–98 (2001)</t>
  </si>
  <si>
    <t>Ardakani and Rouini 2009. Pharmacokinetic study of tramadol and its three metabolites in plasma, saliva and urine. DARU Vol. 17, No 4 2009</t>
  </si>
  <si>
    <t>https://scispace.com/pdf/pharmacokinetic-study-of-tramadol-and-its-three-metabolites-3g3yhg8bbc.pdf</t>
  </si>
  <si>
    <t>Rudaz S, Veuthey JL, Desiderio C, Fanali S. Simultaneous stereoselective analysis by capillary electrophoresis of tramadol enantiomers and their main phase I metabolites in urine. J Chromatogr A 1999</t>
  </si>
  <si>
    <t>https://doi.org/10.1016/S0021-9673(99)00028-X</t>
  </si>
  <si>
    <t>Total excretion as unchanged compound. Excretion of metabolites, N-Desmethyl-Tramadol and O-Desmethyl-Tramadol, are 3.98% and 14.95%. Approximately 30% of the dose is excreted in the urine as unchanged drug, whereas 60% of the dose is excreted as metabolites. The remainder is excreted either as unidentified or as unextractable metabolite</t>
  </si>
  <si>
    <t xml:space="preserve">Pedersen, R., Damkier, P. &amp; Brøsen, K. Enantioselective pharmacokinetics of tramadol in CYP2D6 extensive and poor metabolizers. Eur J Clin Pharmacol 62, 513–521 (2006). </t>
  </si>
  <si>
    <t>https://doi.org/10.1007/s00228-006-0135-x</t>
  </si>
  <si>
    <t>Extensive metabolisers (human)</t>
  </si>
  <si>
    <t>Poor metabolisers (human)</t>
  </si>
  <si>
    <t>https://link.springer.com/article/10.1007/s00228-005-0045-3</t>
  </si>
  <si>
    <t>neonates and young infants</t>
  </si>
  <si>
    <t>Allegaert, K., Van den Anker, J.N., Verbesselt, R. et al. O-demethylation of tramadol in the first months of life. Eur J Clin Pharmacol 61, 837–842 (2005).</t>
  </si>
  <si>
    <t>https://pubmed.ncbi.nlm.nih.gov/1336891/</t>
  </si>
  <si>
    <t>Bergan et al. (1992). Azithromycin pharmacokinetics and penetration to lymph</t>
  </si>
  <si>
    <t>Ballow et al. (1998). Pharmacokinetics of Oral Azithromycin in Serum, Urine, Polymorphonuclear Leucocytes and Inflammatory vs Non-Inflammatory Skin Blisters in Healthy Volunteers. Clin. Drug Investig. 15, 159–167</t>
  </si>
  <si>
    <t>https://doi.org/10.2165/00044011-199815020-00009</t>
  </si>
  <si>
    <t>Amsden, G.W., Ballow, C.H. &amp; Forrest, A. Comparison of the Plasma, Urine and Blister Fluid Pharmacokinetics of Clarithromycin and Azithromycin in Normal Subjects. Clin. Drug Invest. 13, 152–161 (1997).</t>
  </si>
  <si>
    <t xml:space="preserve"> https://doi.org/10.2165/00044011-199713030-00005</t>
  </si>
  <si>
    <t>Primary_reference</t>
  </si>
  <si>
    <t>Ceolotto et al. (2024); Ternes (1998); Carballa et al. (2008); Mendoza et al.  (2015); Lindqvist et al., 2005,</t>
  </si>
  <si>
    <t>Ternes (1998); Liu and Delgado (1994)</t>
  </si>
  <si>
    <t>FDA</t>
  </si>
  <si>
    <t xml:space="preserve">Krohn (1991). Gynaecological tissue levels of azithromycin. Eur J Clin Microbiol Infect Dis. 1991 Oct;10(10):864-8. doi: 10.1007/BF01975844.
</t>
  </si>
  <si>
    <t>https://pubmed.ncbi.nlm.nih.gov/1662635/</t>
  </si>
  <si>
    <t>Wildfeuer et al. (1993). Comparison of the pharmacokinetics of three-day and five-day regimens of azithromycin in plasma and urine. Journal of Antimicrobial Chemotherapy, Volume 31, Issue suppl_E, 1993, Pages 51–56,</t>
  </si>
  <si>
    <t>https://doi.org/10.1093/jac/31.suppl_E.51</t>
  </si>
  <si>
    <t xml:space="preserve">Skinner-Robertson, S., Fradette, C., Bouchard, S. et al. Pharmacokinetics of Tramadol and O-Desmethyltramadol Enantiomers Following Administration of Extended-Release Tablets to Elderly and Young Subjects. Drugs Aging 32, 1029–1043 (2015). </t>
  </si>
  <si>
    <t>https://doi.org/10.1007/s40266-015-0315-4</t>
  </si>
  <si>
    <t>Human (elderly)</t>
  </si>
  <si>
    <t xml:space="preserve"> https://doi.org/10.1016/S0009-9236(97)90098-9</t>
  </si>
  <si>
    <t>Luke and Foulds (1997). Disposition of oral azithromycin in humans</t>
  </si>
  <si>
    <t>ileostomy fluid</t>
  </si>
  <si>
    <t>mean bioavailability is 17.8% (range 6.8-35%)</t>
  </si>
  <si>
    <t>Beringer et al. (2005).</t>
  </si>
  <si>
    <t>https://doi.org/10.1128/aac.49.12.5013-5017.2005</t>
  </si>
  <si>
    <t>bioavailability 34.2%</t>
  </si>
  <si>
    <t>bioavailability 42.8%</t>
  </si>
  <si>
    <t>unabsorbed</t>
  </si>
  <si>
    <t>https://doi.org/10.1093/jac/25.suppl_A.73</t>
  </si>
  <si>
    <t>see secondary reference</t>
  </si>
  <si>
    <t>https://doi.org/10.1016/j.watres.2008.04.026</t>
  </si>
  <si>
    <t>Stierlin H, Faigle JW, Sallmann A et al. Biotransformation ofdiclofenac sodium (Voltaren) in animals and in man. I.Isolation and identiﬁcation of principal metabolites. Xenobiotica 1979; 9: 601–610</t>
  </si>
  <si>
    <t>https://doi.org/10.3109/00498257909042327</t>
  </si>
  <si>
    <t>https://link.springer.com/article/10.1007/BF01975832</t>
  </si>
  <si>
    <t>https://pubmed.ncbi.nlm.nih.gov/15497857/</t>
  </si>
  <si>
    <t>https://pubmed.ncbi.nlm.nih.gov/15101038/</t>
  </si>
  <si>
    <t xml:space="preserve">Huschek et al. (2004). Cited by </t>
  </si>
  <si>
    <t>Mendoza A, Aceña J, Pérez S, López de Alda M, Barceló D, Gil A, Valcárcel Y. Pharmaceuticals and iodinated contrast media in a hospital wastewater: A case study to analyse their presence and characterise their environmental</t>
  </si>
  <si>
    <t>non-bioavailable fraction</t>
  </si>
  <si>
    <t xml:space="preserve">However, for some compounds the excretion of glucuronic conjugated parent compound is the main excretion pathway (e.g. diclofenac, naproxen, paracetamol); </t>
  </si>
  <si>
    <t xml:space="preserve">Data on the fraction of pharmaceutical excreted by humans have been collated for  16 pharmaceuticals based on a literature review. </t>
  </si>
  <si>
    <t xml:space="preserve">The aim has been to collate data on the total excretion (i.e. sum of urinary and faecal pathways) of the pharmaceutical, focussing primarily on the excretion of the unchanged fraction of parent compound. </t>
  </si>
  <si>
    <t>for those compounds, the excretion rate data include both the unconjugated and conjugated parent compound.</t>
  </si>
  <si>
    <t>However, for compounds where faecal excretion is known to be significant and where faecal excretion data are lacking, it has been assumed that the faecal excretion can be approximated as the unabsorbed fraction after administration.</t>
  </si>
  <si>
    <t xml:space="preserve">In general, there are much fewer data on faecal excretion; for most compounds, urinary excretion is the main pathway and hence represent the total excretion well. </t>
  </si>
  <si>
    <t>A large proportion of the data included here have been taken from the systematic reviews carried out by Holton et al. (2022), Kannan et al.(2022), and Ceolotti et al.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</si>
</sst>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1"/>
      <color theme="1"/>
      <name val="Aptos Narrow"/>
      <family val="2"/>
      <scheme val="minor"/>
    </font>
    <font>
      <b/>
      <sz val="11"/>
      <color theme="1"/>
      <name val="Aptos Narrow"/>
      <family val="2"/>
      <scheme val="minor"/>
    </font>
    <font>
      <b/>
      <sz val="9"/>
      <color indexed="81"/>
      <name val="Tahoma"/>
      <family val="2"/>
    </font>
    <font>
      <sz val="9"/>
      <color indexed="81"/>
      <name val="Tahoma"/>
      <family val="2"/>
    </font>
    <font>
      <sz val="8"/>
      <color rgb="FF000000"/>
      <name val="Calibri"/>
      <family val="2"/>
    </font>
    <font>
      <sz val="8"/>
      <color rgb="FFFF0000"/>
      <name val="Calibri"/>
      <family val="2"/>
    </font>
    <font>
      <sz val="8"/>
      <color theme="7" tint="-0.249977111117893"/>
      <name val="Calibri"/>
      <family val="2"/>
    </font>
    <font>
      <sz val="8"/>
      <color theme="9"/>
      <name val="Calibri"/>
      <family val="2"/>
    </font>
    <font>
      <sz val="8"/>
      <color rgb="FF00B050"/>
      <name val="Calibri"/>
      <family val="2"/>
    </font>
    <font>
      <sz val="8"/>
      <color theme="6" tint="-0.249977111117893"/>
      <name val="Calibri"/>
      <family val="2"/>
    </font>
    <font>
      <sz val="8"/>
      <color rgb="FF000000"/>
      <name val="Calibri"/>
      <family val="2"/>
      <charset val="204"/>
    </font>
    <font>
      <sz val="8"/>
      <color theme="1" tint="0.499984740745262"/>
      <name val="Calibri"/>
      <family val="2"/>
    </font>
    <font>
      <u/>
      <sz val="11"/>
      <color theme="10"/>
      <name val="Aptos Narrow"/>
      <family val="2"/>
      <scheme val="minor"/>
    </font>
    <font>
      <sz val="8"/>
      <color theme="1"/>
      <name val="Aptos Narrow"/>
      <family val="2"/>
      <scheme val="minor"/>
    </font>
    <font>
      <b/>
      <sz val="8"/>
      <color theme="0"/>
      <name val="Calibri"/>
      <family val="2"/>
    </font>
    <font>
      <sz val="8"/>
      <color rgb="FFFF0000"/>
      <name val="Aptos Narrow"/>
      <family val="2"/>
      <scheme val="minor"/>
    </font>
    <font>
      <sz val="8"/>
      <name val="Aptos Narrow"/>
      <family val="2"/>
      <scheme val="minor"/>
    </font>
    <font>
      <sz val="9"/>
      <color indexed="81"/>
      <name val="Tahoma"/>
      <charset val="1"/>
    </font>
    <font>
      <b/>
      <sz val="9"/>
      <color indexed="81"/>
      <name val="Tahoma"/>
      <charset val="1"/>
    </font>
    <font>
      <u/>
      <sz val="8"/>
      <color theme="10"/>
      <name val="Aptos Narrow"/>
      <family val="2"/>
      <scheme val="minor"/>
    </font>
    <font>
      <i/>
      <sz val="9"/>
      <color indexed="81"/>
      <name val="Tahoma"/>
      <family val="2"/>
    </font>
    <font>
      <i/>
      <sz val="8"/>
      <color theme="1"/>
      <name val="Aptos Narrow"/>
      <family val="2"/>
      <scheme val="minor"/>
    </font>
    <font>
      <sz val="8"/>
      <color rgb="FF1F1F1F"/>
      <name val="Aptos Narrow"/>
      <family val="2"/>
      <scheme val="minor"/>
    </font>
    <font>
      <sz val="8"/>
      <name val="Calibri"/>
      <family val="2"/>
    </font>
  </fonts>
  <fills count="11">
    <fill>
      <patternFill patternType="none"/>
    </fill>
    <fill>
      <patternFill patternType="gray125"/>
    </fill>
    <fill>
      <patternFill patternType="solid">
        <fgColor theme="1"/>
        <bgColor indexed="64"/>
      </patternFill>
    </fill>
    <fill>
      <patternFill patternType="solid">
        <fgColor rgb="FFFF000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2" fillId="0" borderId="0" applyNumberFormat="0" applyFill="0" applyBorder="0" applyAlignment="0" applyProtection="0"/>
  </cellStyleXfs>
  <cellXfs count="104">
    <xf numFmtId="0" fontId="0" fillId="0" borderId="0" xfId="0"/>
    <xf numFmtId="0" fontId="1" fillId="0" borderId="0" xfId="0" applyFont="1"/>
    <xf numFmtId="0" fontId="13" fillId="0" borderId="0" xfId="0" applyFont="1"/>
    <xf numFmtId="0" fontId="14" fillId="2" borderId="0" xfId="0" applyFont="1" applyFill="1" applyAlignment="1">
      <alignment vertical="top"/>
    </xf>
    <xf numFmtId="0" fontId="12" fillId="0" borderId="0" xfId="1"/>
    <xf numFmtId="0" fontId="0" fillId="0" borderId="0" xfId="0" applyAlignment="1">
      <alignment wrapText="1"/>
    </xf>
    <xf numFmtId="0" fontId="0" fillId="3" borderId="0" xfId="0" applyFill="1"/>
    <xf numFmtId="0" fontId="0" fillId="4" borderId="0" xfId="0" applyFill="1"/>
    <xf numFmtId="0" fontId="12" fillId="3" borderId="0" xfId="1" applyFill="1"/>
    <xf numFmtId="0" fontId="16" fillId="5" borderId="0" xfId="0" applyFont="1" applyFill="1"/>
    <xf numFmtId="0" fontId="14" fillId="2" borderId="0" xfId="0" applyFont="1" applyFill="1" applyAlignment="1">
      <alignment horizontal="right" vertical="top"/>
    </xf>
    <xf numFmtId="0" fontId="14" fillId="6" borderId="0" xfId="0" applyFont="1" applyFill="1" applyAlignment="1">
      <alignment vertical="top"/>
    </xf>
    <xf numFmtId="0" fontId="14" fillId="0" borderId="0" xfId="0" applyFont="1" applyAlignment="1">
      <alignment vertical="top"/>
    </xf>
    <xf numFmtId="0" fontId="13" fillId="7" borderId="0" xfId="0" applyFont="1" applyFill="1"/>
    <xf numFmtId="0" fontId="13" fillId="7" borderId="0" xfId="0" applyFont="1" applyFill="1" applyAlignment="1">
      <alignment horizontal="right"/>
    </xf>
    <xf numFmtId="0" fontId="15" fillId="7" borderId="0" xfId="0" applyFont="1" applyFill="1"/>
    <xf numFmtId="0" fontId="4" fillId="7" borderId="0" xfId="0" applyFont="1" applyFill="1" applyAlignment="1">
      <alignment horizontal="left" vertical="top"/>
    </xf>
    <xf numFmtId="0" fontId="16" fillId="7" borderId="0" xfId="0" applyFont="1" applyFill="1" applyAlignment="1">
      <alignment horizontal="right"/>
    </xf>
    <xf numFmtId="0" fontId="15" fillId="7" borderId="0" xfId="0" applyFont="1" applyFill="1" applyAlignment="1">
      <alignment horizontal="right"/>
    </xf>
    <xf numFmtId="0" fontId="19" fillId="7" borderId="0" xfId="1" applyFont="1" applyFill="1"/>
    <xf numFmtId="0" fontId="16" fillId="7" borderId="0" xfId="0" applyFont="1" applyFill="1"/>
    <xf numFmtId="0" fontId="13" fillId="8" borderId="0" xfId="0" applyFont="1" applyFill="1"/>
    <xf numFmtId="0" fontId="13" fillId="8" borderId="0" xfId="0" applyFont="1" applyFill="1" applyAlignment="1">
      <alignment horizontal="right"/>
    </xf>
    <xf numFmtId="0" fontId="4" fillId="8" borderId="0" xfId="0" applyFont="1" applyFill="1" applyAlignment="1">
      <alignment horizontal="left" vertical="top"/>
    </xf>
    <xf numFmtId="0" fontId="19" fillId="8" borderId="0" xfId="1" applyFont="1" applyFill="1"/>
    <xf numFmtId="0" fontId="15" fillId="8" borderId="0" xfId="0" applyFont="1" applyFill="1"/>
    <xf numFmtId="0" fontId="16" fillId="8" borderId="0" xfId="0" applyFont="1" applyFill="1"/>
    <xf numFmtId="0" fontId="15" fillId="8" borderId="0" xfId="0" applyFont="1" applyFill="1" applyAlignment="1">
      <alignment horizontal="right"/>
    </xf>
    <xf numFmtId="0" fontId="13" fillId="7" borderId="0" xfId="0" quotePrefix="1" applyFont="1" applyFill="1" applyAlignment="1">
      <alignment horizontal="right"/>
    </xf>
    <xf numFmtId="0" fontId="16" fillId="7" borderId="0" xfId="0" quotePrefix="1" applyFont="1" applyFill="1" applyAlignment="1">
      <alignment horizontal="right"/>
    </xf>
    <xf numFmtId="0" fontId="23" fillId="7" borderId="0" xfId="0" applyFont="1" applyFill="1" applyAlignment="1">
      <alignment horizontal="left" vertical="top"/>
    </xf>
    <xf numFmtId="0" fontId="15" fillId="7" borderId="0" xfId="0" quotePrefix="1" applyFont="1" applyFill="1" applyAlignment="1">
      <alignment horizontal="right"/>
    </xf>
    <xf numFmtId="0" fontId="4" fillId="8" borderId="0" xfId="0" applyFont="1" applyFill="1" applyAlignment="1">
      <alignment horizontal="right"/>
    </xf>
    <xf numFmtId="0" fontId="13" fillId="8" borderId="0" xfId="0" quotePrefix="1" applyFont="1" applyFill="1" applyAlignment="1">
      <alignment horizontal="right"/>
    </xf>
    <xf numFmtId="1" fontId="4" fillId="8" borderId="0" xfId="0" applyNumberFormat="1" applyFont="1" applyFill="1" applyAlignment="1">
      <alignment vertical="top"/>
    </xf>
    <xf numFmtId="0" fontId="4" fillId="8" borderId="0" xfId="0" applyFont="1" applyFill="1" applyAlignment="1">
      <alignment vertical="top"/>
    </xf>
    <xf numFmtId="0" fontId="4" fillId="8" borderId="0" xfId="0" applyFont="1" applyFill="1"/>
    <xf numFmtId="0" fontId="6" fillId="8" borderId="0" xfId="0" applyFont="1" applyFill="1" applyAlignment="1">
      <alignment horizontal="right"/>
    </xf>
    <xf numFmtId="164" fontId="4" fillId="8" borderId="0" xfId="0" applyNumberFormat="1" applyFont="1" applyFill="1" applyAlignment="1">
      <alignment horizontal="right"/>
    </xf>
    <xf numFmtId="164" fontId="13" fillId="8" borderId="0" xfId="0" applyNumberFormat="1" applyFont="1" applyFill="1" applyAlignment="1">
      <alignment horizontal="right"/>
    </xf>
    <xf numFmtId="0" fontId="4" fillId="8" borderId="0" xfId="0" applyFont="1" applyFill="1" applyAlignment="1">
      <alignment horizontal="right" wrapText="1"/>
    </xf>
    <xf numFmtId="1" fontId="5" fillId="8" borderId="0" xfId="0" applyNumberFormat="1" applyFont="1" applyFill="1" applyAlignment="1">
      <alignment vertical="top"/>
    </xf>
    <xf numFmtId="0" fontId="11" fillId="8" borderId="0" xfId="0" applyFont="1" applyFill="1" applyAlignment="1">
      <alignment horizontal="right"/>
    </xf>
    <xf numFmtId="0" fontId="5" fillId="8" borderId="0" xfId="0" applyFont="1" applyFill="1" applyAlignment="1">
      <alignment horizontal="left" vertical="top"/>
    </xf>
    <xf numFmtId="0" fontId="5" fillId="8" borderId="0" xfId="0" applyFont="1" applyFill="1" applyAlignment="1">
      <alignment horizontal="right"/>
    </xf>
    <xf numFmtId="0" fontId="7" fillId="8" borderId="0" xfId="0" applyFont="1" applyFill="1" applyAlignment="1">
      <alignment horizontal="right"/>
    </xf>
    <xf numFmtId="0" fontId="23" fillId="8" borderId="0" xfId="0" applyFont="1" applyFill="1" applyAlignment="1">
      <alignment horizontal="right"/>
    </xf>
    <xf numFmtId="0" fontId="9" fillId="8" borderId="0" xfId="0" applyFont="1" applyFill="1" applyAlignment="1">
      <alignment horizontal="right"/>
    </xf>
    <xf numFmtId="0" fontId="16" fillId="8" borderId="0" xfId="0" applyFont="1" applyFill="1" applyAlignment="1">
      <alignment horizontal="right"/>
    </xf>
    <xf numFmtId="0" fontId="4" fillId="7" borderId="0" xfId="0" applyFont="1" applyFill="1" applyAlignment="1">
      <alignment horizontal="right"/>
    </xf>
    <xf numFmtId="1" fontId="4" fillId="7" borderId="0" xfId="0" applyNumberFormat="1" applyFont="1" applyFill="1" applyAlignment="1">
      <alignment vertical="top"/>
    </xf>
    <xf numFmtId="164" fontId="4" fillId="7" borderId="0" xfId="0" applyNumberFormat="1" applyFont="1" applyFill="1" applyAlignment="1">
      <alignment horizontal="right"/>
    </xf>
    <xf numFmtId="2" fontId="4" fillId="7" borderId="0" xfId="0" applyNumberFormat="1" applyFont="1" applyFill="1" applyAlignment="1">
      <alignment horizontal="right"/>
    </xf>
    <xf numFmtId="0" fontId="7" fillId="7" borderId="0" xfId="0" applyFont="1" applyFill="1" applyAlignment="1">
      <alignment horizontal="right"/>
    </xf>
    <xf numFmtId="0" fontId="5" fillId="7" borderId="0" xfId="0" applyFont="1" applyFill="1" applyAlignment="1">
      <alignment vertical="top"/>
    </xf>
    <xf numFmtId="0" fontId="6" fillId="7" borderId="0" xfId="0" applyFont="1" applyFill="1" applyAlignment="1">
      <alignment horizontal="right"/>
    </xf>
    <xf numFmtId="0" fontId="22" fillId="8" borderId="0" xfId="0" applyFont="1" applyFill="1" applyAlignment="1">
      <alignment horizontal="left" vertical="center"/>
    </xf>
    <xf numFmtId="0" fontId="8" fillId="8" borderId="0" xfId="0" applyFont="1" applyFill="1" applyAlignment="1">
      <alignment horizontal="right"/>
    </xf>
    <xf numFmtId="1" fontId="4" fillId="8" borderId="0" xfId="0" applyNumberFormat="1" applyFont="1" applyFill="1"/>
    <xf numFmtId="0" fontId="4" fillId="8" borderId="1" xfId="0" applyFont="1" applyFill="1" applyBorder="1" applyAlignment="1">
      <alignment horizontal="left" vertical="top"/>
    </xf>
    <xf numFmtId="0" fontId="5" fillId="7" borderId="0" xfId="0" applyFont="1" applyFill="1" applyAlignment="1">
      <alignment horizontal="right"/>
    </xf>
    <xf numFmtId="0" fontId="4" fillId="7" borderId="0" xfId="0" applyFont="1" applyFill="1" applyAlignment="1">
      <alignment vertical="top"/>
    </xf>
    <xf numFmtId="0" fontId="9" fillId="7" borderId="0" xfId="0" applyFont="1" applyFill="1" applyAlignment="1">
      <alignment horizontal="right"/>
    </xf>
    <xf numFmtId="0" fontId="8" fillId="7" borderId="0" xfId="0" applyFont="1" applyFill="1" applyAlignment="1">
      <alignment horizontal="right"/>
    </xf>
    <xf numFmtId="164" fontId="16" fillId="7" borderId="0" xfId="0" applyNumberFormat="1" applyFont="1" applyFill="1" applyAlignment="1">
      <alignment horizontal="right"/>
    </xf>
    <xf numFmtId="0" fontId="13" fillId="5" borderId="0" xfId="0" applyFont="1" applyFill="1"/>
    <xf numFmtId="0" fontId="19" fillId="5" borderId="0" xfId="1" applyFont="1" applyFill="1"/>
    <xf numFmtId="0" fontId="4" fillId="5" borderId="0" xfId="0" applyFont="1" applyFill="1" applyAlignment="1">
      <alignment horizontal="left" vertical="top"/>
    </xf>
    <xf numFmtId="0" fontId="19" fillId="5" borderId="0" xfId="1" applyFont="1" applyFill="1" applyAlignment="1">
      <alignment horizontal="left" vertical="top"/>
    </xf>
    <xf numFmtId="0" fontId="4" fillId="5" borderId="0" xfId="0" applyFont="1" applyFill="1" applyAlignment="1">
      <alignment vertical="top"/>
    </xf>
    <xf numFmtId="0" fontId="5" fillId="5" borderId="0" xfId="0" applyFont="1" applyFill="1" applyAlignment="1">
      <alignment horizontal="left" vertical="top"/>
    </xf>
    <xf numFmtId="0" fontId="12" fillId="8" borderId="0" xfId="1" applyFill="1"/>
    <xf numFmtId="164" fontId="15" fillId="7" borderId="0" xfId="0" applyNumberFormat="1" applyFont="1" applyFill="1" applyAlignment="1">
      <alignment horizontal="right"/>
    </xf>
    <xf numFmtId="164" fontId="13" fillId="7" borderId="0" xfId="0" applyNumberFormat="1" applyFont="1" applyFill="1" applyAlignment="1">
      <alignment horizontal="right"/>
    </xf>
    <xf numFmtId="0" fontId="13" fillId="9" borderId="0" xfId="0" applyFont="1" applyFill="1"/>
    <xf numFmtId="0" fontId="15" fillId="9" borderId="0" xfId="0" applyFont="1" applyFill="1"/>
    <xf numFmtId="0" fontId="16" fillId="9" borderId="0" xfId="0" applyFont="1" applyFill="1"/>
    <xf numFmtId="0" fontId="13" fillId="9" borderId="0" xfId="0" quotePrefix="1" applyFont="1" applyFill="1"/>
    <xf numFmtId="0" fontId="15" fillId="9" borderId="0" xfId="0" quotePrefix="1" applyFont="1" applyFill="1" applyAlignment="1">
      <alignment horizontal="right"/>
    </xf>
    <xf numFmtId="0" fontId="4" fillId="9" borderId="0" xfId="0" applyFont="1" applyFill="1"/>
    <xf numFmtId="0" fontId="7" fillId="9" borderId="0" xfId="0" applyFont="1" applyFill="1"/>
    <xf numFmtId="0" fontId="6" fillId="9" borderId="0" xfId="0" applyFont="1" applyFill="1"/>
    <xf numFmtId="164" fontId="10" fillId="9" borderId="0" xfId="0" applyNumberFormat="1" applyFont="1" applyFill="1"/>
    <xf numFmtId="0" fontId="13" fillId="9" borderId="0" xfId="0" quotePrefix="1" applyFont="1" applyFill="1" applyAlignment="1">
      <alignment horizontal="right"/>
    </xf>
    <xf numFmtId="0" fontId="5" fillId="9" borderId="0" xfId="0" applyFont="1" applyFill="1"/>
    <xf numFmtId="0" fontId="9" fillId="9" borderId="0" xfId="0" applyFont="1" applyFill="1"/>
    <xf numFmtId="0" fontId="8" fillId="9" borderId="0" xfId="0" applyFont="1" applyFill="1"/>
    <xf numFmtId="0" fontId="13" fillId="10" borderId="0" xfId="0" applyFont="1" applyFill="1"/>
    <xf numFmtId="0" fontId="15" fillId="10" borderId="0" xfId="0" applyFont="1" applyFill="1"/>
    <xf numFmtId="0" fontId="4" fillId="10" borderId="0" xfId="0" applyFont="1" applyFill="1"/>
    <xf numFmtId="0" fontId="6" fillId="10" borderId="0" xfId="0" applyFont="1" applyFill="1"/>
    <xf numFmtId="0" fontId="4" fillId="10" borderId="0" xfId="0" applyFont="1" applyFill="1" applyAlignment="1">
      <alignment wrapText="1"/>
    </xf>
    <xf numFmtId="0" fontId="11" fillId="10" borderId="0" xfId="0" applyFont="1" applyFill="1"/>
    <xf numFmtId="2" fontId="4" fillId="10" borderId="0" xfId="0" applyNumberFormat="1" applyFont="1" applyFill="1"/>
    <xf numFmtId="2" fontId="13" fillId="10" borderId="0" xfId="0" applyNumberFormat="1" applyFont="1" applyFill="1"/>
    <xf numFmtId="0" fontId="5" fillId="10" borderId="0" xfId="0" applyFont="1" applyFill="1"/>
    <xf numFmtId="0" fontId="7" fillId="10" borderId="0" xfId="0" applyFont="1" applyFill="1"/>
    <xf numFmtId="0" fontId="9" fillId="10" borderId="0" xfId="0" applyFont="1" applyFill="1"/>
    <xf numFmtId="0" fontId="13" fillId="10" borderId="0" xfId="0" quotePrefix="1" applyFont="1" applyFill="1"/>
    <xf numFmtId="0" fontId="16" fillId="10" borderId="0" xfId="0" applyFont="1" applyFill="1"/>
    <xf numFmtId="0" fontId="13" fillId="10" borderId="0" xfId="0" quotePrefix="1" applyFont="1" applyFill="1" applyAlignment="1">
      <alignment horizontal="right"/>
    </xf>
    <xf numFmtId="0" fontId="13" fillId="10" borderId="0" xfId="0" applyFont="1" applyFill="1" applyAlignment="1">
      <alignment horizontal="right"/>
    </xf>
    <xf numFmtId="0" fontId="8" fillId="10" borderId="0" xfId="0" applyFont="1" applyFill="1"/>
    <xf numFmtId="0" fontId="12" fillId="7"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pubs.acs.org/doi/10.1021/es0627693" TargetMode="External"/><Relationship Id="rId13" Type="http://schemas.openxmlformats.org/officeDocument/2006/relationships/hyperlink" Target="https://doi.org/10.1016/j.jhazmat.2005.03.001" TargetMode="External"/><Relationship Id="rId18" Type="http://schemas.openxmlformats.org/officeDocument/2006/relationships/hyperlink" Target="https://doi.org/10.1016/j.envint.2009.01.008" TargetMode="External"/><Relationship Id="rId26" Type="http://schemas.openxmlformats.org/officeDocument/2006/relationships/hyperlink" Target="https://doi.org/10.1002/etc.221" TargetMode="External"/><Relationship Id="rId39" Type="http://schemas.openxmlformats.org/officeDocument/2006/relationships/comments" Target="../comments1.xml"/><Relationship Id="rId3" Type="http://schemas.openxmlformats.org/officeDocument/2006/relationships/hyperlink" Target="https://link.springer.com/article/10.1007/BF00644963" TargetMode="External"/><Relationship Id="rId21" Type="http://schemas.openxmlformats.org/officeDocument/2006/relationships/hyperlink" Target="https://doi.org/10.1016/j.ecoenv.2004.11.011" TargetMode="External"/><Relationship Id="rId34" Type="http://schemas.openxmlformats.org/officeDocument/2006/relationships/hyperlink" Target="https://doi.org/10.1016/j.jhydrol.2010.06.005" TargetMode="External"/><Relationship Id="rId7" Type="http://schemas.openxmlformats.org/officeDocument/2006/relationships/hyperlink" Target="https://doi.org/10.1016/j.chemosphere.2003.07.001" TargetMode="External"/><Relationship Id="rId12" Type="http://schemas.openxmlformats.org/officeDocument/2006/relationships/hyperlink" Target="https://doi.org/10.1016/j.jhazmat.2005.03.001" TargetMode="External"/><Relationship Id="rId17" Type="http://schemas.openxmlformats.org/officeDocument/2006/relationships/hyperlink" Target="https://pubmed.ncbi.nlm.nih.gov/7198474/" TargetMode="External"/><Relationship Id="rId25" Type="http://schemas.openxmlformats.org/officeDocument/2006/relationships/hyperlink" Target="https://doi.org/10.1016/j.scitotenv.2016.04.165" TargetMode="External"/><Relationship Id="rId33" Type="http://schemas.openxmlformats.org/officeDocument/2006/relationships/hyperlink" Target="https://doi.org/10.1093/jac/25.suppl_A.73" TargetMode="External"/><Relationship Id="rId38" Type="http://schemas.openxmlformats.org/officeDocument/2006/relationships/vmlDrawing" Target="../drawings/vmlDrawing1.vml"/><Relationship Id="rId2" Type="http://schemas.openxmlformats.org/officeDocument/2006/relationships/hyperlink" Target="https://doi.org/10.1016/j.jhazmat.2005.03.001" TargetMode="External"/><Relationship Id="rId16" Type="http://schemas.openxmlformats.org/officeDocument/2006/relationships/hyperlink" Target="https://doi.org/10.1007/978-1-4419-1157-5_2" TargetMode="External"/><Relationship Id="rId20" Type="http://schemas.openxmlformats.org/officeDocument/2006/relationships/hyperlink" Target="https://doi.org/10.1016/j.ecoenv.2004.11.011" TargetMode="External"/><Relationship Id="rId29" Type="http://schemas.openxmlformats.org/officeDocument/2006/relationships/hyperlink" Target="https://link.springer.com/article/10.1007/BF01977494" TargetMode="External"/><Relationship Id="rId1" Type="http://schemas.openxmlformats.org/officeDocument/2006/relationships/hyperlink" Target="https://pubs.acs.org/doi/10.1021/es0627693" TargetMode="External"/><Relationship Id="rId6" Type="http://schemas.openxmlformats.org/officeDocument/2006/relationships/hyperlink" Target="https://doi.org/10.1002/etc.221" TargetMode="External"/><Relationship Id="rId11" Type="http://schemas.openxmlformats.org/officeDocument/2006/relationships/hyperlink" Target="https://doi.org/10.1016/j.jhazmat.2005.03.001" TargetMode="External"/><Relationship Id="rId24" Type="http://schemas.openxmlformats.org/officeDocument/2006/relationships/hyperlink" Target="https://doi.org/10.2165/00003088-200443130-00004" TargetMode="External"/><Relationship Id="rId32" Type="http://schemas.openxmlformats.org/officeDocument/2006/relationships/hyperlink" Target="https://doi.org/10.1093/jac/25.suppl_A.73" TargetMode="External"/><Relationship Id="rId37" Type="http://schemas.openxmlformats.org/officeDocument/2006/relationships/hyperlink" Target="https://doi.org/10.1016/j.jhydrol.2010.06.005" TargetMode="External"/><Relationship Id="rId5" Type="http://schemas.openxmlformats.org/officeDocument/2006/relationships/hyperlink" Target="https://doi.org/10.1111/j.1469-0691.2003.00739.x" TargetMode="External"/><Relationship Id="rId15" Type="http://schemas.openxmlformats.org/officeDocument/2006/relationships/hyperlink" Target="https://doi.org/10.1016/j.scitotenv.2016.04.165" TargetMode="External"/><Relationship Id="rId23" Type="http://schemas.openxmlformats.org/officeDocument/2006/relationships/hyperlink" Target="https://doi.org/10.1093/jac/26.4.533" TargetMode="External"/><Relationship Id="rId28" Type="http://schemas.openxmlformats.org/officeDocument/2006/relationships/hyperlink" Target="https://doi.org/10.1016/j.envint.2020.106331" TargetMode="External"/><Relationship Id="rId36" Type="http://schemas.openxmlformats.org/officeDocument/2006/relationships/hyperlink" Target="https://doi.org/10.1016/j.jhazmat.2022.129001" TargetMode="External"/><Relationship Id="rId10" Type="http://schemas.openxmlformats.org/officeDocument/2006/relationships/hyperlink" Target="https://doi.org/10.1016/j.jhazmat.2005.03.001" TargetMode="External"/><Relationship Id="rId19" Type="http://schemas.openxmlformats.org/officeDocument/2006/relationships/hyperlink" Target="https://doi.org/10.1016/j.scitotenv.2012.11.057" TargetMode="External"/><Relationship Id="rId31" Type="http://schemas.openxmlformats.org/officeDocument/2006/relationships/hyperlink" Target="https://doi.org/10.1016/j.jhazmat.2023.132645" TargetMode="External"/><Relationship Id="rId4" Type="http://schemas.openxmlformats.org/officeDocument/2006/relationships/hyperlink" Target="https://doi.org/10.1016/j.ecoenv.2004.11.011" TargetMode="External"/><Relationship Id="rId9" Type="http://schemas.openxmlformats.org/officeDocument/2006/relationships/hyperlink" Target="https://doi.org/10.1016/j.jhazmat.2005.03.001" TargetMode="External"/><Relationship Id="rId14" Type="http://schemas.openxmlformats.org/officeDocument/2006/relationships/hyperlink" Target="https://doi.org/10.1016/j.jhazmat.2005.03.001" TargetMode="External"/><Relationship Id="rId22" Type="http://schemas.openxmlformats.org/officeDocument/2006/relationships/hyperlink" Target="https://doi.org/10.1016/j.envres.2015.04.003" TargetMode="External"/><Relationship Id="rId27" Type="http://schemas.openxmlformats.org/officeDocument/2006/relationships/hyperlink" Target="https://www.accessdata.fda.gov/drugsatfda_docs/label/2016/021710s11s012lbl.pdf" TargetMode="External"/><Relationship Id="rId30" Type="http://schemas.openxmlformats.org/officeDocument/2006/relationships/hyperlink" Target="https://doi.org/10.1016/j.scitotenv.2013.10.026" TargetMode="External"/><Relationship Id="rId35" Type="http://schemas.openxmlformats.org/officeDocument/2006/relationships/hyperlink" Target="https://doi.org/10.1016/j.watres.2008.04.026"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oi.org/10.1111/j.1469-0691.2003.00739.x" TargetMode="External"/><Relationship Id="rId3" Type="http://schemas.openxmlformats.org/officeDocument/2006/relationships/hyperlink" Target="https://doi.org/10.1016/j.jhazmat.2005.03.001" TargetMode="External"/><Relationship Id="rId7" Type="http://schemas.openxmlformats.org/officeDocument/2006/relationships/hyperlink" Target="https://doi.org/10.2165/00003088-200443130-00004" TargetMode="External"/><Relationship Id="rId2" Type="http://schemas.openxmlformats.org/officeDocument/2006/relationships/hyperlink" Target="https://doi.org/10.1016/j.chemosphere.2008.04.034" TargetMode="External"/><Relationship Id="rId1" Type="http://schemas.openxmlformats.org/officeDocument/2006/relationships/hyperlink" Target="https://doi.org/10.1897/08-622.1" TargetMode="External"/><Relationship Id="rId6" Type="http://schemas.openxmlformats.org/officeDocument/2006/relationships/hyperlink" Target="https://doi.org/10.1080/10807030802235078" TargetMode="External"/><Relationship Id="rId5" Type="http://schemas.openxmlformats.org/officeDocument/2006/relationships/hyperlink" Target="https://doi.org/10.1016/j.scitotenv.2016.04.165" TargetMode="External"/><Relationship Id="rId10" Type="http://schemas.openxmlformats.org/officeDocument/2006/relationships/hyperlink" Target="https://doi.org/10.1016/j.jhydrol.2010.06.005" TargetMode="External"/><Relationship Id="rId4" Type="http://schemas.openxmlformats.org/officeDocument/2006/relationships/hyperlink" Target="https://doi.org/10.1016/S0048-9697(00)00481-2" TargetMode="External"/><Relationship Id="rId9" Type="http://schemas.openxmlformats.org/officeDocument/2006/relationships/hyperlink" Target="https://doi.org/10.1016/j.scitotenv.2012.11.0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0450B-6D1C-40F8-99DB-46EE821DAC87}">
  <dimension ref="A1:A8"/>
  <sheetViews>
    <sheetView workbookViewId="0">
      <selection activeCell="A9" sqref="A9"/>
    </sheetView>
  </sheetViews>
  <sheetFormatPr defaultRowHeight="15" x14ac:dyDescent="0.25"/>
  <cols>
    <col min="1" max="1" width="147.5703125" customWidth="1"/>
    <col min="2" max="2" width="26.42578125" customWidth="1"/>
  </cols>
  <sheetData>
    <row r="1" spans="1:1" x14ac:dyDescent="0.25">
      <c r="A1" t="s">
        <v>1173</v>
      </c>
    </row>
    <row r="2" spans="1:1" x14ac:dyDescent="0.25">
      <c r="A2" t="s">
        <v>1174</v>
      </c>
    </row>
    <row r="3" spans="1:1" x14ac:dyDescent="0.25">
      <c r="A3" t="s">
        <v>1172</v>
      </c>
    </row>
    <row r="4" spans="1:1" x14ac:dyDescent="0.25">
      <c r="A4" t="s">
        <v>1175</v>
      </c>
    </row>
    <row r="5" spans="1:1" x14ac:dyDescent="0.25">
      <c r="A5" t="s">
        <v>1177</v>
      </c>
    </row>
    <row r="6" spans="1:1" x14ac:dyDescent="0.25">
      <c r="A6" t="s">
        <v>1176</v>
      </c>
    </row>
    <row r="8" spans="1:1" x14ac:dyDescent="0.25">
      <c r="A8" t="s">
        <v>1178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5DDDF-8272-47C1-A681-EADA7C52422A}">
  <dimension ref="A1:Y623"/>
  <sheetViews>
    <sheetView tabSelected="1" workbookViewId="0">
      <selection activeCell="C20" sqref="C20"/>
    </sheetView>
  </sheetViews>
  <sheetFormatPr defaultRowHeight="15" x14ac:dyDescent="0.25"/>
  <cols>
    <col min="1" max="1" width="15.140625" style="2" bestFit="1" customWidth="1"/>
    <col min="2" max="2" width="12.7109375" style="2" bestFit="1" customWidth="1"/>
    <col min="3" max="3" width="13.42578125" style="2" bestFit="1" customWidth="1"/>
    <col min="4" max="4" width="12.28515625" style="2" bestFit="1" customWidth="1"/>
    <col min="5" max="5" width="3.5703125" style="2" bestFit="1" customWidth="1"/>
    <col min="6" max="7" width="9.140625" style="2"/>
    <col min="8" max="8" width="11.85546875" style="2" bestFit="1" customWidth="1"/>
    <col min="9" max="9" width="14.5703125" style="2" customWidth="1"/>
    <col min="10" max="12" width="9.140625" style="2"/>
    <col min="13" max="13" width="26.5703125" style="2" customWidth="1"/>
    <col min="14" max="14" width="10.42578125" style="2" bestFit="1" customWidth="1"/>
    <col min="15" max="25" width="9.140625" style="2"/>
  </cols>
  <sheetData>
    <row r="1" spans="1:25" x14ac:dyDescent="0.25">
      <c r="A1" s="3" t="s">
        <v>8</v>
      </c>
      <c r="B1" s="10" t="s">
        <v>997</v>
      </c>
      <c r="C1" s="10" t="s">
        <v>998</v>
      </c>
      <c r="D1" s="10" t="s">
        <v>999</v>
      </c>
      <c r="E1" s="3" t="s">
        <v>1</v>
      </c>
      <c r="F1" s="3" t="s">
        <v>0</v>
      </c>
      <c r="G1" s="3" t="s">
        <v>2</v>
      </c>
      <c r="H1" s="3" t="s">
        <v>3</v>
      </c>
      <c r="I1" s="3" t="s">
        <v>1141</v>
      </c>
      <c r="J1" s="3" t="s">
        <v>836</v>
      </c>
      <c r="K1" s="3" t="s">
        <v>9</v>
      </c>
      <c r="L1" s="3" t="s">
        <v>909</v>
      </c>
      <c r="M1" s="3" t="s">
        <v>911</v>
      </c>
      <c r="N1" s="11" t="s">
        <v>1001</v>
      </c>
      <c r="O1" s="11" t="s">
        <v>1002</v>
      </c>
      <c r="P1" s="11" t="s">
        <v>1003</v>
      </c>
      <c r="Q1" s="11" t="s">
        <v>4</v>
      </c>
      <c r="R1" s="11" t="s">
        <v>5</v>
      </c>
      <c r="S1" s="11" t="s">
        <v>6</v>
      </c>
      <c r="T1" s="11" t="s">
        <v>7</v>
      </c>
      <c r="U1" s="11" t="s">
        <v>965</v>
      </c>
      <c r="V1" s="11" t="s">
        <v>964</v>
      </c>
      <c r="W1" s="11" t="s">
        <v>752</v>
      </c>
      <c r="Y1" s="12"/>
    </row>
    <row r="2" spans="1:25" x14ac:dyDescent="0.25">
      <c r="A2" s="13" t="s">
        <v>765</v>
      </c>
      <c r="B2" s="14">
        <v>6</v>
      </c>
      <c r="C2" s="14">
        <f>100-37</f>
        <v>63</v>
      </c>
      <c r="D2" s="14">
        <f>B2+C2</f>
        <v>69</v>
      </c>
      <c r="E2" s="15">
        <v>1</v>
      </c>
      <c r="F2" s="13" t="s">
        <v>716</v>
      </c>
      <c r="G2" s="13" t="s">
        <v>731</v>
      </c>
      <c r="H2" s="16" t="s">
        <v>725</v>
      </c>
      <c r="I2" s="65" t="s">
        <v>767</v>
      </c>
      <c r="J2" s="65" t="s">
        <v>731</v>
      </c>
      <c r="K2" s="13" t="s">
        <v>769</v>
      </c>
      <c r="L2" s="13"/>
      <c r="M2" s="13" t="s">
        <v>779</v>
      </c>
      <c r="N2" s="74"/>
      <c r="O2" s="74"/>
      <c r="P2" s="74"/>
      <c r="Q2" s="74"/>
      <c r="R2" s="74"/>
      <c r="S2" s="74"/>
      <c r="T2" s="74"/>
      <c r="U2" s="74"/>
      <c r="V2" s="74"/>
      <c r="W2" s="74"/>
    </row>
    <row r="3" spans="1:25" x14ac:dyDescent="0.25">
      <c r="A3" s="13" t="s">
        <v>765</v>
      </c>
      <c r="B3" s="17" t="s">
        <v>731</v>
      </c>
      <c r="C3" s="17" t="s">
        <v>731</v>
      </c>
      <c r="D3" s="18">
        <v>50</v>
      </c>
      <c r="E3" s="15">
        <v>1</v>
      </c>
      <c r="F3" s="13" t="s">
        <v>716</v>
      </c>
      <c r="G3" s="13" t="s">
        <v>731</v>
      </c>
      <c r="H3" s="16" t="s">
        <v>725</v>
      </c>
      <c r="I3" s="65" t="s">
        <v>732</v>
      </c>
      <c r="J3" s="65" t="s">
        <v>733</v>
      </c>
      <c r="K3" s="13" t="s">
        <v>734</v>
      </c>
      <c r="L3" s="13"/>
      <c r="M3" s="13" t="s">
        <v>753</v>
      </c>
      <c r="N3" s="75"/>
      <c r="O3" s="75"/>
      <c r="P3" s="75"/>
      <c r="Q3" s="74"/>
      <c r="R3" s="74"/>
      <c r="S3" s="74"/>
      <c r="T3" s="74"/>
      <c r="U3" s="74"/>
      <c r="V3" s="74"/>
      <c r="W3" s="74">
        <v>50</v>
      </c>
    </row>
    <row r="4" spans="1:25" x14ac:dyDescent="0.25">
      <c r="A4" s="13" t="s">
        <v>765</v>
      </c>
      <c r="B4" s="18">
        <v>8</v>
      </c>
      <c r="C4" s="72" t="s">
        <v>731</v>
      </c>
      <c r="D4" s="18">
        <f>SUM(B4:C4)</f>
        <v>8</v>
      </c>
      <c r="E4" s="15">
        <v>1</v>
      </c>
      <c r="F4" s="13" t="s">
        <v>716</v>
      </c>
      <c r="G4" s="13" t="s">
        <v>731</v>
      </c>
      <c r="H4" s="16" t="s">
        <v>13</v>
      </c>
      <c r="I4" s="65" t="s">
        <v>772</v>
      </c>
      <c r="J4" s="66" t="s">
        <v>771</v>
      </c>
      <c r="K4" s="13" t="s">
        <v>773</v>
      </c>
      <c r="L4" s="13"/>
      <c r="M4" s="13"/>
      <c r="N4" s="74"/>
      <c r="O4" s="74"/>
      <c r="P4" s="74"/>
      <c r="Q4" s="74"/>
      <c r="R4" s="74"/>
      <c r="S4" s="74"/>
      <c r="T4" s="74"/>
      <c r="U4" s="74"/>
      <c r="V4" s="74"/>
      <c r="W4" s="74"/>
    </row>
    <row r="5" spans="1:25" x14ac:dyDescent="0.25">
      <c r="A5" s="13" t="s">
        <v>765</v>
      </c>
      <c r="B5" s="14">
        <f>0.12*0.38*100</f>
        <v>4.5600000000000005</v>
      </c>
      <c r="C5" s="14">
        <f>100-38</f>
        <v>62</v>
      </c>
      <c r="D5" s="14">
        <f>C5+B5</f>
        <v>66.56</v>
      </c>
      <c r="E5" s="15">
        <v>1</v>
      </c>
      <c r="F5" s="13" t="s">
        <v>716</v>
      </c>
      <c r="G5" s="13" t="s">
        <v>731</v>
      </c>
      <c r="H5" s="16" t="s">
        <v>725</v>
      </c>
      <c r="I5" s="65" t="s">
        <v>746</v>
      </c>
      <c r="J5" s="66" t="s">
        <v>745</v>
      </c>
      <c r="K5" s="13" t="s">
        <v>775</v>
      </c>
      <c r="L5" s="13"/>
      <c r="M5" s="13" t="s">
        <v>774</v>
      </c>
      <c r="N5" s="74"/>
      <c r="O5" s="74"/>
      <c r="P5" s="74"/>
      <c r="Q5" s="74"/>
      <c r="R5" s="74"/>
      <c r="S5" s="74"/>
      <c r="T5" s="74"/>
      <c r="U5" s="74"/>
      <c r="V5" s="74"/>
      <c r="W5" s="74"/>
    </row>
    <row r="6" spans="1:25" x14ac:dyDescent="0.25">
      <c r="A6" s="13" t="s">
        <v>765</v>
      </c>
      <c r="B6" s="17">
        <v>14</v>
      </c>
      <c r="C6" s="72">
        <f>C17</f>
        <v>13.3</v>
      </c>
      <c r="D6" s="18">
        <f>SUM(B6:C6)</f>
        <v>27.3</v>
      </c>
      <c r="E6" s="13">
        <v>12</v>
      </c>
      <c r="F6" s="13" t="s">
        <v>716</v>
      </c>
      <c r="G6" s="13" t="s">
        <v>220</v>
      </c>
      <c r="H6" s="16" t="s">
        <v>13</v>
      </c>
      <c r="I6" s="65" t="s">
        <v>982</v>
      </c>
      <c r="J6" s="65" t="s">
        <v>981</v>
      </c>
      <c r="K6" s="13" t="s">
        <v>777</v>
      </c>
      <c r="L6" s="13" t="s">
        <v>770</v>
      </c>
      <c r="M6" s="13" t="s">
        <v>776</v>
      </c>
      <c r="N6" s="76"/>
      <c r="O6" s="76"/>
      <c r="P6" s="76"/>
      <c r="Q6" s="74"/>
      <c r="R6" s="74"/>
      <c r="S6" s="74"/>
      <c r="T6" s="74"/>
      <c r="U6" s="74"/>
      <c r="V6" s="74"/>
      <c r="W6" s="74"/>
    </row>
    <row r="7" spans="1:25" x14ac:dyDescent="0.25">
      <c r="A7" s="13" t="s">
        <v>765</v>
      </c>
      <c r="B7" s="17">
        <v>6</v>
      </c>
      <c r="C7" s="72" t="s">
        <v>731</v>
      </c>
      <c r="D7" s="18">
        <f>SUM(B7:C7)</f>
        <v>6</v>
      </c>
      <c r="E7" s="13">
        <v>6</v>
      </c>
      <c r="F7" s="13" t="s">
        <v>716</v>
      </c>
      <c r="G7" s="13" t="s">
        <v>218</v>
      </c>
      <c r="H7" s="16" t="s">
        <v>13</v>
      </c>
      <c r="I7" s="65" t="s">
        <v>978</v>
      </c>
      <c r="J7" s="66" t="s">
        <v>977</v>
      </c>
      <c r="K7" s="13"/>
      <c r="L7" s="13"/>
      <c r="M7" s="13"/>
      <c r="N7" s="76"/>
      <c r="O7" s="76"/>
      <c r="P7" s="76"/>
      <c r="Q7" s="74"/>
      <c r="R7" s="74"/>
      <c r="S7" s="74"/>
      <c r="T7" s="74"/>
      <c r="U7" s="74"/>
      <c r="V7" s="74"/>
      <c r="W7" s="74"/>
    </row>
    <row r="8" spans="1:25" x14ac:dyDescent="0.25">
      <c r="A8" s="13" t="s">
        <v>765</v>
      </c>
      <c r="B8" s="17">
        <v>4.5</v>
      </c>
      <c r="C8" s="14">
        <v>63</v>
      </c>
      <c r="D8" s="14">
        <f>C8+B8</f>
        <v>67.5</v>
      </c>
      <c r="E8" s="20">
        <v>10</v>
      </c>
      <c r="F8" s="13" t="s">
        <v>716</v>
      </c>
      <c r="G8" s="13" t="s">
        <v>218</v>
      </c>
      <c r="H8" s="16" t="s">
        <v>725</v>
      </c>
      <c r="I8" s="65" t="s">
        <v>979</v>
      </c>
      <c r="J8" s="66" t="s">
        <v>1161</v>
      </c>
      <c r="K8" s="13" t="s">
        <v>980</v>
      </c>
      <c r="L8" s="13"/>
      <c r="M8" s="13" t="s">
        <v>1000</v>
      </c>
      <c r="N8" s="76"/>
      <c r="O8" s="76"/>
      <c r="P8" s="76"/>
      <c r="Q8" s="74"/>
      <c r="R8" s="74"/>
      <c r="S8" s="74"/>
      <c r="T8" s="74"/>
      <c r="U8" s="74"/>
      <c r="V8" s="74"/>
      <c r="W8" s="74"/>
    </row>
    <row r="9" spans="1:25" x14ac:dyDescent="0.25">
      <c r="A9" s="13" t="s">
        <v>765</v>
      </c>
      <c r="B9" s="17">
        <v>12.2</v>
      </c>
      <c r="C9" s="72">
        <f>C17</f>
        <v>13.3</v>
      </c>
      <c r="D9" s="18">
        <f>SUM(B9:C9)</f>
        <v>25.5</v>
      </c>
      <c r="E9" s="20">
        <v>10</v>
      </c>
      <c r="F9" s="13" t="s">
        <v>716</v>
      </c>
      <c r="G9" s="13" t="s">
        <v>220</v>
      </c>
      <c r="H9" s="16" t="s">
        <v>725</v>
      </c>
      <c r="I9" s="65" t="s">
        <v>979</v>
      </c>
      <c r="J9" s="66" t="s">
        <v>1161</v>
      </c>
      <c r="K9" s="13" t="s">
        <v>980</v>
      </c>
      <c r="L9" s="13"/>
      <c r="M9" s="13" t="s">
        <v>1000</v>
      </c>
      <c r="N9" s="76"/>
      <c r="O9" s="76"/>
      <c r="P9" s="76"/>
      <c r="Q9" s="74"/>
      <c r="R9" s="74"/>
      <c r="S9" s="74"/>
      <c r="T9" s="74"/>
      <c r="U9" s="74"/>
      <c r="V9" s="74"/>
      <c r="W9" s="74"/>
    </row>
    <row r="10" spans="1:25" x14ac:dyDescent="0.25">
      <c r="A10" s="13" t="s">
        <v>765</v>
      </c>
      <c r="B10" s="14">
        <v>6</v>
      </c>
      <c r="C10" s="14">
        <v>60</v>
      </c>
      <c r="D10" s="73">
        <f>SUM(B10:C10)</f>
        <v>66</v>
      </c>
      <c r="E10" s="15">
        <v>1</v>
      </c>
      <c r="F10" s="13" t="s">
        <v>716</v>
      </c>
      <c r="G10" s="13" t="s">
        <v>218</v>
      </c>
      <c r="H10" s="16" t="s">
        <v>725</v>
      </c>
      <c r="I10" s="65" t="s">
        <v>993</v>
      </c>
      <c r="J10" s="65" t="s">
        <v>731</v>
      </c>
      <c r="K10" s="13"/>
      <c r="L10" s="13"/>
      <c r="M10" s="13" t="s">
        <v>995</v>
      </c>
      <c r="N10" s="74"/>
      <c r="O10" s="74"/>
      <c r="P10" s="74"/>
      <c r="Q10" s="74"/>
      <c r="R10" s="74"/>
      <c r="S10" s="74"/>
      <c r="T10" s="74"/>
      <c r="U10" s="74"/>
      <c r="V10" s="74"/>
      <c r="W10" s="74"/>
    </row>
    <row r="11" spans="1:25" x14ac:dyDescent="0.25">
      <c r="A11" s="13" t="s">
        <v>765</v>
      </c>
      <c r="B11" s="14">
        <v>14.7</v>
      </c>
      <c r="C11" s="72" t="s">
        <v>731</v>
      </c>
      <c r="D11" s="72" t="s">
        <v>731</v>
      </c>
      <c r="E11" s="20">
        <v>14</v>
      </c>
      <c r="F11" s="13" t="s">
        <v>716</v>
      </c>
      <c r="G11" s="13" t="s">
        <v>218</v>
      </c>
      <c r="H11" s="16" t="s">
        <v>13</v>
      </c>
      <c r="I11" s="65" t="s">
        <v>1136</v>
      </c>
      <c r="J11" s="66" t="s">
        <v>1135</v>
      </c>
      <c r="K11" s="13"/>
      <c r="L11" s="13"/>
      <c r="M11" s="13"/>
      <c r="N11" s="74"/>
      <c r="O11" s="74"/>
      <c r="P11" s="74"/>
      <c r="Q11" s="74"/>
      <c r="R11" s="74"/>
      <c r="S11" s="74"/>
      <c r="T11" s="74"/>
      <c r="U11" s="74"/>
      <c r="V11" s="74"/>
      <c r="W11" s="74"/>
    </row>
    <row r="12" spans="1:25" x14ac:dyDescent="0.25">
      <c r="A12" s="13" t="s">
        <v>765</v>
      </c>
      <c r="B12" s="14">
        <v>7</v>
      </c>
      <c r="C12" s="72" t="s">
        <v>731</v>
      </c>
      <c r="D12" s="72" t="s">
        <v>731</v>
      </c>
      <c r="E12" s="20">
        <v>14</v>
      </c>
      <c r="F12" s="13" t="s">
        <v>716</v>
      </c>
      <c r="G12" s="13" t="s">
        <v>218</v>
      </c>
      <c r="H12" s="16" t="s">
        <v>13</v>
      </c>
      <c r="I12" s="65" t="s">
        <v>1137</v>
      </c>
      <c r="J12" s="66" t="s">
        <v>1138</v>
      </c>
      <c r="K12" s="13"/>
      <c r="L12" s="13"/>
      <c r="M12" s="13"/>
      <c r="N12" s="74"/>
      <c r="O12" s="74"/>
      <c r="P12" s="74"/>
      <c r="Q12" s="74"/>
      <c r="R12" s="74"/>
      <c r="S12" s="74"/>
      <c r="T12" s="74"/>
      <c r="U12" s="74"/>
      <c r="V12" s="74"/>
      <c r="W12" s="74"/>
    </row>
    <row r="13" spans="1:25" x14ac:dyDescent="0.25">
      <c r="A13" s="13" t="s">
        <v>765</v>
      </c>
      <c r="B13" s="14">
        <v>10</v>
      </c>
      <c r="C13" s="72" t="str">
        <f t="shared" ref="C13:C15" si="0">C12</f>
        <v>NA</v>
      </c>
      <c r="D13" s="72" t="s">
        <v>731</v>
      </c>
      <c r="E13" s="20">
        <v>8</v>
      </c>
      <c r="F13" s="13" t="s">
        <v>716</v>
      </c>
      <c r="G13" s="13" t="s">
        <v>218</v>
      </c>
      <c r="H13" s="16" t="s">
        <v>13</v>
      </c>
      <c r="I13" s="65" t="s">
        <v>1139</v>
      </c>
      <c r="J13" s="66" t="s">
        <v>1140</v>
      </c>
      <c r="K13" s="13"/>
      <c r="L13" s="13"/>
      <c r="M13" s="13"/>
      <c r="N13" s="74"/>
      <c r="O13" s="74"/>
      <c r="P13" s="74"/>
      <c r="Q13" s="74"/>
      <c r="R13" s="74"/>
      <c r="S13" s="74"/>
      <c r="T13" s="74"/>
      <c r="U13" s="74"/>
      <c r="V13" s="74"/>
      <c r="W13" s="74"/>
    </row>
    <row r="14" spans="1:25" x14ac:dyDescent="0.25">
      <c r="A14" s="13" t="s">
        <v>765</v>
      </c>
      <c r="B14" s="14">
        <v>6</v>
      </c>
      <c r="C14" s="72" t="str">
        <f t="shared" si="0"/>
        <v>NA</v>
      </c>
      <c r="D14" s="72" t="s">
        <v>731</v>
      </c>
      <c r="E14" s="20">
        <v>20</v>
      </c>
      <c r="F14" s="13" t="s">
        <v>716</v>
      </c>
      <c r="G14" s="13" t="s">
        <v>218</v>
      </c>
      <c r="H14" s="16" t="s">
        <v>13</v>
      </c>
      <c r="I14" s="65" t="s">
        <v>1145</v>
      </c>
      <c r="J14" s="66" t="s">
        <v>1146</v>
      </c>
      <c r="K14" s="13"/>
      <c r="L14" s="13"/>
      <c r="M14" s="13"/>
      <c r="N14" s="74"/>
      <c r="O14" s="74"/>
      <c r="P14" s="74"/>
      <c r="Q14" s="74"/>
      <c r="R14" s="74"/>
      <c r="S14" s="74"/>
      <c r="T14" s="74"/>
      <c r="U14" s="74"/>
      <c r="V14" s="74"/>
      <c r="W14" s="74"/>
    </row>
    <row r="15" spans="1:25" x14ac:dyDescent="0.25">
      <c r="A15" s="13" t="s">
        <v>765</v>
      </c>
      <c r="B15" s="14">
        <f>(5.5+4.6)/2</f>
        <v>5.05</v>
      </c>
      <c r="C15" s="72" t="str">
        <f t="shared" si="0"/>
        <v>NA</v>
      </c>
      <c r="D15" s="72" t="s">
        <v>731</v>
      </c>
      <c r="E15" s="20">
        <v>14</v>
      </c>
      <c r="F15" s="13" t="s">
        <v>716</v>
      </c>
      <c r="G15" s="13" t="s">
        <v>218</v>
      </c>
      <c r="H15" s="16" t="s">
        <v>13</v>
      </c>
      <c r="I15" s="65" t="s">
        <v>1147</v>
      </c>
      <c r="J15" s="66" t="s">
        <v>1148</v>
      </c>
      <c r="K15" s="13"/>
      <c r="L15" s="13"/>
      <c r="M15" s="13"/>
      <c r="N15" s="74"/>
      <c r="O15" s="74"/>
      <c r="P15" s="74"/>
      <c r="Q15" s="74"/>
      <c r="R15" s="74"/>
      <c r="S15" s="74"/>
      <c r="T15" s="74"/>
      <c r="U15" s="74"/>
      <c r="V15" s="74"/>
      <c r="W15" s="74"/>
    </row>
    <row r="16" spans="1:25" x14ac:dyDescent="0.25">
      <c r="A16" s="13" t="s">
        <v>765</v>
      </c>
      <c r="B16" s="14" t="s">
        <v>731</v>
      </c>
      <c r="C16" s="64">
        <v>46.8</v>
      </c>
      <c r="D16" s="73">
        <f t="shared" ref="D16:D19" si="1">SUM(B16:C16)</f>
        <v>46.8</v>
      </c>
      <c r="E16" s="20">
        <v>12</v>
      </c>
      <c r="F16" s="13" t="s">
        <v>15</v>
      </c>
      <c r="G16" s="13" t="s">
        <v>218</v>
      </c>
      <c r="H16" s="16" t="s">
        <v>1154</v>
      </c>
      <c r="I16" s="65" t="s">
        <v>1153</v>
      </c>
      <c r="J16" s="66" t="s">
        <v>1152</v>
      </c>
      <c r="K16" s="13"/>
      <c r="L16" s="13"/>
      <c r="M16" s="13" t="s">
        <v>1155</v>
      </c>
      <c r="N16" s="74"/>
      <c r="O16" s="74"/>
      <c r="P16" s="74"/>
      <c r="Q16" s="74"/>
      <c r="R16" s="74"/>
      <c r="S16" s="74"/>
      <c r="T16" s="74"/>
      <c r="U16" s="74"/>
      <c r="V16" s="74"/>
      <c r="W16" s="74"/>
    </row>
    <row r="17" spans="1:23" x14ac:dyDescent="0.25">
      <c r="A17" s="13" t="s">
        <v>765</v>
      </c>
      <c r="B17" s="14" t="s">
        <v>731</v>
      </c>
      <c r="C17" s="64">
        <v>13.3</v>
      </c>
      <c r="D17" s="73">
        <f t="shared" si="1"/>
        <v>13.3</v>
      </c>
      <c r="E17" s="20">
        <v>12</v>
      </c>
      <c r="F17" s="13" t="s">
        <v>15</v>
      </c>
      <c r="G17" s="13" t="s">
        <v>220</v>
      </c>
      <c r="H17" s="16" t="s">
        <v>1154</v>
      </c>
      <c r="I17" s="65" t="s">
        <v>1153</v>
      </c>
      <c r="J17" s="66" t="s">
        <v>1152</v>
      </c>
      <c r="K17" s="13"/>
      <c r="L17" s="13"/>
      <c r="M17" s="13" t="s">
        <v>1155</v>
      </c>
      <c r="N17" s="74"/>
      <c r="O17" s="74"/>
      <c r="P17" s="74"/>
      <c r="Q17" s="74"/>
      <c r="R17" s="74"/>
      <c r="S17" s="74"/>
      <c r="T17" s="74"/>
      <c r="U17" s="74"/>
      <c r="V17" s="74"/>
      <c r="W17" s="74"/>
    </row>
    <row r="18" spans="1:23" x14ac:dyDescent="0.25">
      <c r="A18" s="13" t="s">
        <v>765</v>
      </c>
      <c r="B18" s="14" t="s">
        <v>731</v>
      </c>
      <c r="C18" s="64">
        <f>100-42.8</f>
        <v>57.2</v>
      </c>
      <c r="D18" s="73">
        <f t="shared" si="1"/>
        <v>57.2</v>
      </c>
      <c r="E18" s="20">
        <v>12</v>
      </c>
      <c r="F18" s="13" t="s">
        <v>12</v>
      </c>
      <c r="G18" s="13" t="s">
        <v>218</v>
      </c>
      <c r="H18" s="16" t="s">
        <v>1160</v>
      </c>
      <c r="I18" s="65" t="s">
        <v>1156</v>
      </c>
      <c r="J18" s="66" t="s">
        <v>1157</v>
      </c>
      <c r="K18" s="13"/>
      <c r="L18" s="13"/>
      <c r="M18" s="13" t="s">
        <v>1159</v>
      </c>
      <c r="N18" s="74"/>
      <c r="O18" s="74"/>
      <c r="P18" s="74"/>
      <c r="Q18" s="74"/>
      <c r="R18" s="74"/>
      <c r="S18" s="74"/>
      <c r="T18" s="74"/>
      <c r="U18" s="74"/>
      <c r="V18" s="74"/>
      <c r="W18" s="74"/>
    </row>
    <row r="19" spans="1:23" x14ac:dyDescent="0.25">
      <c r="A19" s="13" t="s">
        <v>765</v>
      </c>
      <c r="B19" s="14" t="s">
        <v>731</v>
      </c>
      <c r="C19" s="64">
        <f>100-34.2</f>
        <v>65.8</v>
      </c>
      <c r="D19" s="73">
        <f t="shared" si="1"/>
        <v>65.8</v>
      </c>
      <c r="E19" s="20">
        <v>12</v>
      </c>
      <c r="F19" s="13" t="s">
        <v>15</v>
      </c>
      <c r="G19" s="13" t="s">
        <v>218</v>
      </c>
      <c r="H19" s="16" t="s">
        <v>1160</v>
      </c>
      <c r="I19" s="65" t="s">
        <v>1156</v>
      </c>
      <c r="J19" s="66" t="s">
        <v>1157</v>
      </c>
      <c r="K19" s="13"/>
      <c r="L19" s="13"/>
      <c r="M19" s="13" t="s">
        <v>1158</v>
      </c>
      <c r="N19" s="74"/>
      <c r="O19" s="74"/>
      <c r="P19" s="74"/>
      <c r="Q19" s="74"/>
      <c r="R19" s="74"/>
      <c r="S19" s="74"/>
      <c r="T19" s="74"/>
      <c r="U19" s="74"/>
      <c r="V19" s="74"/>
      <c r="W19" s="74"/>
    </row>
    <row r="20" spans="1:23" x14ac:dyDescent="0.25">
      <c r="A20" s="21" t="s">
        <v>721</v>
      </c>
      <c r="B20" s="22">
        <v>52</v>
      </c>
      <c r="C20" s="22">
        <f>(1.7+1.3)/2</f>
        <v>1.5</v>
      </c>
      <c r="D20" s="22">
        <f>SUM(B20:C20)</f>
        <v>53.5</v>
      </c>
      <c r="E20" s="21">
        <v>15</v>
      </c>
      <c r="F20" s="21" t="s">
        <v>716</v>
      </c>
      <c r="G20" s="23" t="s">
        <v>218</v>
      </c>
      <c r="H20" s="23" t="s">
        <v>725</v>
      </c>
      <c r="I20" s="65" t="s">
        <v>756</v>
      </c>
      <c r="J20" s="66" t="s">
        <v>757</v>
      </c>
      <c r="K20" s="21" t="s">
        <v>1142</v>
      </c>
      <c r="L20" s="21"/>
      <c r="M20" s="21" t="s">
        <v>912</v>
      </c>
      <c r="N20" s="87">
        <f>22.1+21.7</f>
        <v>43.8</v>
      </c>
      <c r="O20" s="87"/>
      <c r="P20" s="87"/>
      <c r="Q20" s="87"/>
      <c r="R20" s="87"/>
      <c r="S20" s="87"/>
      <c r="T20" s="87"/>
      <c r="U20" s="87"/>
      <c r="V20" s="87">
        <v>22.1</v>
      </c>
      <c r="W20" s="87"/>
    </row>
    <row r="21" spans="1:23" x14ac:dyDescent="0.25">
      <c r="A21" s="21" t="s">
        <v>721</v>
      </c>
      <c r="B21" s="22">
        <v>38.6</v>
      </c>
      <c r="C21" s="22" t="s">
        <v>731</v>
      </c>
      <c r="D21" s="22">
        <f>SUM(B21:C21)</f>
        <v>38.6</v>
      </c>
      <c r="E21" s="21">
        <v>12</v>
      </c>
      <c r="F21" s="21" t="s">
        <v>716</v>
      </c>
      <c r="G21" s="23" t="s">
        <v>218</v>
      </c>
      <c r="H21" s="23" t="s">
        <v>13</v>
      </c>
      <c r="I21" s="65" t="s">
        <v>727</v>
      </c>
      <c r="J21" s="65" t="s">
        <v>1162</v>
      </c>
      <c r="K21" s="21" t="s">
        <v>786</v>
      </c>
      <c r="L21" s="71" t="s">
        <v>796</v>
      </c>
      <c r="M21" s="21" t="s">
        <v>912</v>
      </c>
      <c r="N21" s="87"/>
      <c r="O21" s="87"/>
      <c r="P21" s="87"/>
      <c r="Q21" s="87" t="s">
        <v>717</v>
      </c>
      <c r="R21" s="87"/>
      <c r="S21" s="87"/>
      <c r="T21" s="87"/>
      <c r="U21" s="87"/>
      <c r="V21" s="87"/>
      <c r="W21" s="87"/>
    </row>
    <row r="22" spans="1:23" x14ac:dyDescent="0.25">
      <c r="A22" s="21" t="s">
        <v>721</v>
      </c>
      <c r="B22" s="22">
        <v>54.2</v>
      </c>
      <c r="C22" s="22" t="s">
        <v>731</v>
      </c>
      <c r="D22" s="22">
        <f t="shared" ref="D22:D26" si="2">SUM(B22:C22)</f>
        <v>54.2</v>
      </c>
      <c r="E22" s="21">
        <v>4</v>
      </c>
      <c r="F22" s="21" t="s">
        <v>716</v>
      </c>
      <c r="G22" s="23" t="s">
        <v>218</v>
      </c>
      <c r="H22" s="23" t="s">
        <v>13</v>
      </c>
      <c r="I22" s="65" t="s">
        <v>913</v>
      </c>
      <c r="J22" s="65" t="s">
        <v>1162</v>
      </c>
      <c r="K22" s="21" t="s">
        <v>724</v>
      </c>
      <c r="L22" s="21" t="s">
        <v>796</v>
      </c>
      <c r="M22" s="21" t="s">
        <v>912</v>
      </c>
      <c r="N22" s="87"/>
      <c r="O22" s="87"/>
      <c r="P22" s="87"/>
      <c r="Q22" s="87" t="s">
        <v>717</v>
      </c>
      <c r="R22" s="87"/>
      <c r="S22" s="87"/>
      <c r="T22" s="87"/>
      <c r="U22" s="87"/>
      <c r="V22" s="87"/>
      <c r="W22" s="87"/>
    </row>
    <row r="23" spans="1:23" x14ac:dyDescent="0.25">
      <c r="A23" s="21" t="s">
        <v>721</v>
      </c>
      <c r="B23" s="22">
        <v>38.700000000000003</v>
      </c>
      <c r="C23" s="22" t="s">
        <v>731</v>
      </c>
      <c r="D23" s="22">
        <f t="shared" si="2"/>
        <v>38.700000000000003</v>
      </c>
      <c r="E23" s="21">
        <v>17</v>
      </c>
      <c r="F23" s="21" t="s">
        <v>716</v>
      </c>
      <c r="G23" s="23" t="s">
        <v>218</v>
      </c>
      <c r="H23" s="23" t="s">
        <v>13</v>
      </c>
      <c r="I23" s="65" t="s">
        <v>914</v>
      </c>
      <c r="J23" s="65" t="s">
        <v>1162</v>
      </c>
      <c r="K23" s="21" t="s">
        <v>724</v>
      </c>
      <c r="L23" s="21" t="s">
        <v>796</v>
      </c>
      <c r="M23" s="21"/>
      <c r="N23" s="87"/>
      <c r="O23" s="87"/>
      <c r="P23" s="87"/>
      <c r="Q23" s="87" t="s">
        <v>717</v>
      </c>
      <c r="R23" s="87"/>
      <c r="S23" s="87"/>
      <c r="T23" s="87"/>
      <c r="U23" s="87"/>
      <c r="V23" s="87"/>
      <c r="W23" s="87"/>
    </row>
    <row r="24" spans="1:23" x14ac:dyDescent="0.25">
      <c r="A24" s="21" t="s">
        <v>721</v>
      </c>
      <c r="B24" s="22">
        <f>(47+50)/2</f>
        <v>48.5</v>
      </c>
      <c r="C24" s="22">
        <v>2.5</v>
      </c>
      <c r="D24" s="22">
        <f t="shared" si="2"/>
        <v>51</v>
      </c>
      <c r="E24" s="25">
        <v>1</v>
      </c>
      <c r="F24" s="21" t="s">
        <v>716</v>
      </c>
      <c r="G24" s="26" t="s">
        <v>731</v>
      </c>
      <c r="H24" s="23" t="s">
        <v>725</v>
      </c>
      <c r="I24" s="65" t="s">
        <v>728</v>
      </c>
      <c r="J24" s="66" t="s">
        <v>729</v>
      </c>
      <c r="K24" s="21"/>
      <c r="L24" s="21"/>
      <c r="M24" s="21"/>
      <c r="N24" s="87"/>
      <c r="O24" s="87"/>
      <c r="P24" s="87"/>
      <c r="Q24" s="87"/>
      <c r="R24" s="87">
        <v>25</v>
      </c>
      <c r="S24" s="87"/>
      <c r="T24" s="87"/>
      <c r="U24" s="87"/>
      <c r="V24" s="87">
        <v>19</v>
      </c>
      <c r="W24" s="87">
        <v>70</v>
      </c>
    </row>
    <row r="25" spans="1:23" x14ac:dyDescent="0.25">
      <c r="A25" s="21" t="s">
        <v>721</v>
      </c>
      <c r="B25" s="22" t="s">
        <v>731</v>
      </c>
      <c r="C25" s="22" t="s">
        <v>731</v>
      </c>
      <c r="D25" s="27">
        <v>100</v>
      </c>
      <c r="E25" s="25">
        <v>1</v>
      </c>
      <c r="F25" s="21" t="s">
        <v>716</v>
      </c>
      <c r="G25" s="26" t="s">
        <v>731</v>
      </c>
      <c r="H25" s="23" t="s">
        <v>725</v>
      </c>
      <c r="I25" s="67" t="s">
        <v>732</v>
      </c>
      <c r="J25" s="65" t="s">
        <v>733</v>
      </c>
      <c r="K25" s="21" t="s">
        <v>734</v>
      </c>
      <c r="L25" s="21"/>
      <c r="M25" s="21" t="s">
        <v>753</v>
      </c>
      <c r="N25" s="88"/>
      <c r="O25" s="88"/>
      <c r="P25" s="88"/>
      <c r="Q25" s="87"/>
      <c r="R25" s="87"/>
      <c r="S25" s="87"/>
      <c r="T25" s="87"/>
      <c r="U25" s="87"/>
      <c r="V25" s="87"/>
      <c r="W25" s="87">
        <v>100</v>
      </c>
    </row>
    <row r="26" spans="1:23" x14ac:dyDescent="0.25">
      <c r="A26" s="21" t="s">
        <v>721</v>
      </c>
      <c r="B26" s="22">
        <v>40</v>
      </c>
      <c r="C26" s="22" t="s">
        <v>731</v>
      </c>
      <c r="D26" s="22">
        <f t="shared" si="2"/>
        <v>40</v>
      </c>
      <c r="E26" s="25">
        <v>1</v>
      </c>
      <c r="F26" s="21" t="s">
        <v>716</v>
      </c>
      <c r="G26" s="26" t="s">
        <v>731</v>
      </c>
      <c r="H26" s="23" t="s">
        <v>13</v>
      </c>
      <c r="I26" s="67" t="s">
        <v>758</v>
      </c>
      <c r="J26" s="67" t="s">
        <v>759</v>
      </c>
      <c r="K26" s="21" t="s">
        <v>760</v>
      </c>
      <c r="L26" s="21"/>
      <c r="M26" s="21" t="s">
        <v>761</v>
      </c>
      <c r="N26" s="87"/>
      <c r="O26" s="87"/>
      <c r="P26" s="87"/>
      <c r="Q26" s="87"/>
      <c r="R26" s="88"/>
      <c r="S26" s="87"/>
      <c r="T26" s="87"/>
      <c r="U26" s="87"/>
      <c r="V26" s="87"/>
      <c r="W26" s="87"/>
    </row>
    <row r="27" spans="1:23" x14ac:dyDescent="0.25">
      <c r="A27" s="21" t="s">
        <v>721</v>
      </c>
      <c r="B27" s="22">
        <v>45</v>
      </c>
      <c r="C27" s="22">
        <f>100-95</f>
        <v>5</v>
      </c>
      <c r="D27" s="22">
        <f>SUM(B27:C27)</f>
        <v>50</v>
      </c>
      <c r="E27" s="25">
        <v>1</v>
      </c>
      <c r="F27" s="21" t="s">
        <v>716</v>
      </c>
      <c r="G27" s="26" t="s">
        <v>731</v>
      </c>
      <c r="H27" s="23" t="s">
        <v>725</v>
      </c>
      <c r="I27" s="67" t="s">
        <v>739</v>
      </c>
      <c r="J27" s="68" t="s">
        <v>738</v>
      </c>
      <c r="K27" s="21" t="s">
        <v>755</v>
      </c>
      <c r="L27" s="21"/>
      <c r="M27" s="21" t="s">
        <v>762</v>
      </c>
      <c r="N27" s="87"/>
      <c r="O27" s="87"/>
      <c r="P27" s="87"/>
      <c r="Q27" s="87"/>
      <c r="R27" s="88"/>
      <c r="S27" s="87"/>
      <c r="T27" s="87"/>
      <c r="U27" s="87"/>
      <c r="V27" s="87"/>
      <c r="W27" s="87"/>
    </row>
    <row r="28" spans="1:23" x14ac:dyDescent="0.25">
      <c r="A28" s="21" t="s">
        <v>721</v>
      </c>
      <c r="B28" s="22">
        <v>50</v>
      </c>
      <c r="C28" s="22">
        <v>0</v>
      </c>
      <c r="D28" s="22">
        <v>50</v>
      </c>
      <c r="E28" s="25">
        <v>1</v>
      </c>
      <c r="F28" s="21" t="s">
        <v>716</v>
      </c>
      <c r="G28" s="26" t="s">
        <v>731</v>
      </c>
      <c r="H28" s="23" t="s">
        <v>725</v>
      </c>
      <c r="I28" s="67" t="s">
        <v>746</v>
      </c>
      <c r="J28" s="67" t="s">
        <v>745</v>
      </c>
      <c r="K28" s="21" t="s">
        <v>763</v>
      </c>
      <c r="L28" s="21"/>
      <c r="M28" s="21" t="s">
        <v>744</v>
      </c>
      <c r="N28" s="87"/>
      <c r="O28" s="87"/>
      <c r="P28" s="87"/>
      <c r="Q28" s="87"/>
      <c r="R28" s="88"/>
      <c r="S28" s="87"/>
      <c r="T28" s="87"/>
      <c r="U28" s="87"/>
      <c r="V28" s="87"/>
      <c r="W28" s="87"/>
    </row>
    <row r="29" spans="1:23" x14ac:dyDescent="0.25">
      <c r="A29" s="21" t="s">
        <v>721</v>
      </c>
      <c r="B29" s="22" t="s">
        <v>731</v>
      </c>
      <c r="C29" s="22" t="s">
        <v>731</v>
      </c>
      <c r="D29" s="22">
        <v>53</v>
      </c>
      <c r="E29" s="25">
        <v>1</v>
      </c>
      <c r="F29" s="21" t="s">
        <v>716</v>
      </c>
      <c r="G29" s="26" t="s">
        <v>731</v>
      </c>
      <c r="H29" s="23" t="s">
        <v>725</v>
      </c>
      <c r="I29" s="67" t="s">
        <v>749</v>
      </c>
      <c r="J29" s="68" t="s">
        <v>748</v>
      </c>
      <c r="K29" s="21" t="s">
        <v>764</v>
      </c>
      <c r="L29" s="21"/>
      <c r="M29" s="21" t="s">
        <v>747</v>
      </c>
      <c r="N29" s="87"/>
      <c r="O29" s="87"/>
      <c r="P29" s="87"/>
      <c r="Q29" s="87"/>
      <c r="R29" s="88"/>
      <c r="S29" s="87"/>
      <c r="T29" s="87"/>
      <c r="U29" s="87"/>
      <c r="V29" s="87"/>
      <c r="W29" s="87"/>
    </row>
    <row r="30" spans="1:23" x14ac:dyDescent="0.25">
      <c r="A30" s="21" t="s">
        <v>721</v>
      </c>
      <c r="B30" s="22" t="s">
        <v>731</v>
      </c>
      <c r="C30" s="22" t="s">
        <v>731</v>
      </c>
      <c r="D30" s="22">
        <v>50</v>
      </c>
      <c r="E30" s="25">
        <v>1</v>
      </c>
      <c r="F30" s="21" t="s">
        <v>716</v>
      </c>
      <c r="G30" s="26" t="s">
        <v>731</v>
      </c>
      <c r="H30" s="23" t="s">
        <v>725</v>
      </c>
      <c r="I30" s="67" t="s">
        <v>754</v>
      </c>
      <c r="J30" s="68" t="s">
        <v>736</v>
      </c>
      <c r="K30" s="21"/>
      <c r="L30" s="21"/>
      <c r="M30" s="21" t="s">
        <v>735</v>
      </c>
      <c r="N30" s="87"/>
      <c r="O30" s="87"/>
      <c r="P30" s="87"/>
      <c r="Q30" s="87"/>
      <c r="R30" s="88"/>
      <c r="S30" s="87"/>
      <c r="T30" s="87"/>
      <c r="U30" s="87"/>
      <c r="V30" s="87"/>
      <c r="W30" s="87"/>
    </row>
    <row r="31" spans="1:23" x14ac:dyDescent="0.25">
      <c r="A31" s="21" t="s">
        <v>721</v>
      </c>
      <c r="B31" s="22">
        <v>50</v>
      </c>
      <c r="C31" s="22">
        <v>3</v>
      </c>
      <c r="D31" s="22">
        <f>C31+B31</f>
        <v>53</v>
      </c>
      <c r="E31" s="25">
        <v>1</v>
      </c>
      <c r="F31" s="21" t="s">
        <v>716</v>
      </c>
      <c r="G31" s="21" t="s">
        <v>218</v>
      </c>
      <c r="H31" s="23" t="s">
        <v>725</v>
      </c>
      <c r="I31" s="65" t="s">
        <v>993</v>
      </c>
      <c r="J31" s="65" t="s">
        <v>731</v>
      </c>
      <c r="K31" s="21"/>
      <c r="L31" s="21"/>
      <c r="M31" s="21"/>
      <c r="N31" s="87"/>
      <c r="O31" s="87"/>
      <c r="P31" s="87"/>
      <c r="Q31" s="87"/>
      <c r="R31" s="88"/>
      <c r="S31" s="87"/>
      <c r="T31" s="87"/>
      <c r="U31" s="87"/>
      <c r="V31" s="87">
        <v>20</v>
      </c>
      <c r="W31" s="87"/>
    </row>
    <row r="32" spans="1:23" x14ac:dyDescent="0.25">
      <c r="A32" s="16" t="s">
        <v>720</v>
      </c>
      <c r="B32" s="14">
        <v>0.5</v>
      </c>
      <c r="C32" s="14" t="s">
        <v>731</v>
      </c>
      <c r="D32" s="14" t="s">
        <v>731</v>
      </c>
      <c r="E32" s="13">
        <v>32</v>
      </c>
      <c r="F32" s="13" t="s">
        <v>716</v>
      </c>
      <c r="G32" s="16" t="s">
        <v>218</v>
      </c>
      <c r="H32" s="16" t="s">
        <v>13</v>
      </c>
      <c r="I32" s="65" t="s">
        <v>225</v>
      </c>
      <c r="J32" s="65" t="s">
        <v>1162</v>
      </c>
      <c r="K32" s="13" t="s">
        <v>786</v>
      </c>
      <c r="L32" s="13" t="s">
        <v>796</v>
      </c>
      <c r="M32" s="13"/>
      <c r="N32" s="74"/>
      <c r="O32" s="74"/>
      <c r="P32" s="74"/>
      <c r="Q32" s="74">
        <v>40</v>
      </c>
      <c r="R32" s="74"/>
      <c r="S32" s="74"/>
      <c r="T32" s="74"/>
      <c r="U32" s="74"/>
      <c r="V32" s="74" t="s">
        <v>717</v>
      </c>
      <c r="W32" s="74"/>
    </row>
    <row r="33" spans="1:23" x14ac:dyDescent="0.25">
      <c r="A33" s="13" t="s">
        <v>720</v>
      </c>
      <c r="B33" s="28">
        <v>2</v>
      </c>
      <c r="C33" s="28">
        <v>20</v>
      </c>
      <c r="D33" s="28">
        <f>SUM(B33:C33)</f>
        <v>22</v>
      </c>
      <c r="E33" s="15">
        <v>1</v>
      </c>
      <c r="F33" s="13" t="s">
        <v>718</v>
      </c>
      <c r="G33" s="13" t="s">
        <v>218</v>
      </c>
      <c r="H33" s="16" t="s">
        <v>725</v>
      </c>
      <c r="I33" s="65" t="s">
        <v>812</v>
      </c>
      <c r="J33" s="65" t="s">
        <v>731</v>
      </c>
      <c r="K33" s="13"/>
      <c r="L33" s="13"/>
      <c r="M33" s="13" t="s">
        <v>813</v>
      </c>
      <c r="N33" s="77"/>
      <c r="O33" s="77"/>
      <c r="P33" s="77"/>
      <c r="Q33" s="74"/>
      <c r="R33" s="74"/>
      <c r="S33" s="74"/>
      <c r="T33" s="74"/>
      <c r="U33" s="74"/>
      <c r="V33" s="74"/>
      <c r="W33" s="74"/>
    </row>
    <row r="34" spans="1:23" x14ac:dyDescent="0.25">
      <c r="A34" s="13" t="s">
        <v>720</v>
      </c>
      <c r="B34" s="18" t="s">
        <v>731</v>
      </c>
      <c r="C34" s="18" t="s">
        <v>731</v>
      </c>
      <c r="D34" s="18">
        <v>15</v>
      </c>
      <c r="E34" s="15">
        <v>1</v>
      </c>
      <c r="F34" s="13" t="s">
        <v>718</v>
      </c>
      <c r="G34" s="13" t="s">
        <v>731</v>
      </c>
      <c r="H34" s="16" t="s">
        <v>725</v>
      </c>
      <c r="I34" s="65" t="s">
        <v>787</v>
      </c>
      <c r="J34" s="65" t="s">
        <v>797</v>
      </c>
      <c r="K34" s="13" t="s">
        <v>807</v>
      </c>
      <c r="L34" s="19" t="s">
        <v>797</v>
      </c>
      <c r="M34" s="13" t="s">
        <v>840</v>
      </c>
      <c r="N34" s="75"/>
      <c r="O34" s="75"/>
      <c r="P34" s="75"/>
      <c r="Q34" s="74"/>
      <c r="R34" s="74"/>
      <c r="S34" s="74"/>
      <c r="T34" s="74"/>
      <c r="U34" s="74"/>
      <c r="V34" s="74"/>
      <c r="W34" s="74">
        <v>15</v>
      </c>
    </row>
    <row r="35" spans="1:23" x14ac:dyDescent="0.25">
      <c r="A35" s="13" t="s">
        <v>720</v>
      </c>
      <c r="B35" s="14" t="s">
        <v>731</v>
      </c>
      <c r="C35" s="14" t="s">
        <v>731</v>
      </c>
      <c r="D35" s="14">
        <v>3</v>
      </c>
      <c r="E35" s="15">
        <v>1</v>
      </c>
      <c r="F35" s="13" t="s">
        <v>718</v>
      </c>
      <c r="G35" s="13" t="s">
        <v>731</v>
      </c>
      <c r="H35" s="16" t="s">
        <v>725</v>
      </c>
      <c r="I35" s="65" t="s">
        <v>788</v>
      </c>
      <c r="J35" s="66" t="s">
        <v>798</v>
      </c>
      <c r="K35" s="13" t="s">
        <v>808</v>
      </c>
      <c r="L35" s="13"/>
      <c r="M35" s="13" t="s">
        <v>803</v>
      </c>
      <c r="N35" s="74"/>
      <c r="O35" s="74"/>
      <c r="P35" s="74"/>
      <c r="Q35" s="74"/>
      <c r="R35" s="74"/>
      <c r="S35" s="74"/>
      <c r="T35" s="74"/>
      <c r="U35" s="74"/>
      <c r="V35" s="74"/>
      <c r="W35" s="74"/>
    </row>
    <row r="36" spans="1:23" x14ac:dyDescent="0.25">
      <c r="A36" s="13" t="s">
        <v>720</v>
      </c>
      <c r="B36" s="17">
        <v>3</v>
      </c>
      <c r="C36" s="28">
        <v>28</v>
      </c>
      <c r="D36" s="17">
        <f>SUM(B36:C36)</f>
        <v>31</v>
      </c>
      <c r="E36" s="15">
        <v>1</v>
      </c>
      <c r="F36" s="13" t="s">
        <v>718</v>
      </c>
      <c r="G36" s="13" t="s">
        <v>731</v>
      </c>
      <c r="H36" s="16" t="s">
        <v>13</v>
      </c>
      <c r="I36" s="65" t="s">
        <v>1007</v>
      </c>
      <c r="J36" s="66" t="s">
        <v>1006</v>
      </c>
      <c r="K36" s="13"/>
      <c r="L36" s="13"/>
      <c r="M36" s="13" t="s">
        <v>848</v>
      </c>
      <c r="N36" s="76"/>
      <c r="O36" s="76"/>
      <c r="P36" s="76"/>
      <c r="Q36" s="74"/>
      <c r="R36" s="74"/>
      <c r="S36" s="74"/>
      <c r="T36" s="74"/>
      <c r="U36" s="74"/>
      <c r="V36" s="74"/>
      <c r="W36" s="74"/>
    </row>
    <row r="37" spans="1:23" x14ac:dyDescent="0.25">
      <c r="A37" s="13" t="s">
        <v>720</v>
      </c>
      <c r="B37" s="17">
        <v>1</v>
      </c>
      <c r="C37" s="28">
        <v>20</v>
      </c>
      <c r="D37" s="17">
        <f>SUM(B37:C37)</f>
        <v>21</v>
      </c>
      <c r="E37" s="15">
        <v>1</v>
      </c>
      <c r="F37" s="13" t="s">
        <v>718</v>
      </c>
      <c r="G37" s="13" t="s">
        <v>731</v>
      </c>
      <c r="H37" s="16" t="s">
        <v>725</v>
      </c>
      <c r="I37" s="65" t="s">
        <v>1004</v>
      </c>
      <c r="J37" s="65" t="s">
        <v>1005</v>
      </c>
      <c r="K37" s="13"/>
      <c r="L37" s="13"/>
      <c r="M37" s="13"/>
      <c r="N37" s="76"/>
      <c r="O37" s="76"/>
      <c r="P37" s="76"/>
      <c r="Q37" s="74"/>
      <c r="R37" s="74"/>
      <c r="S37" s="74"/>
      <c r="T37" s="74"/>
      <c r="U37" s="74"/>
      <c r="V37" s="74"/>
      <c r="W37" s="74"/>
    </row>
    <row r="38" spans="1:23" x14ac:dyDescent="0.25">
      <c r="A38" s="16" t="s">
        <v>720</v>
      </c>
      <c r="B38" s="14" t="s">
        <v>731</v>
      </c>
      <c r="C38" s="14" t="s">
        <v>731</v>
      </c>
      <c r="D38" s="14" t="s">
        <v>731</v>
      </c>
      <c r="E38" s="13">
        <v>15</v>
      </c>
      <c r="F38" s="13" t="s">
        <v>718</v>
      </c>
      <c r="G38" s="16" t="s">
        <v>218</v>
      </c>
      <c r="H38" s="16" t="s">
        <v>13</v>
      </c>
      <c r="I38" s="65" t="s">
        <v>226</v>
      </c>
      <c r="J38" s="65" t="s">
        <v>1162</v>
      </c>
      <c r="K38" s="13" t="s">
        <v>786</v>
      </c>
      <c r="L38" s="21" t="s">
        <v>796</v>
      </c>
      <c r="M38" s="13"/>
      <c r="N38" s="74"/>
      <c r="O38" s="74"/>
      <c r="P38" s="74"/>
      <c r="Q38" s="74">
        <v>49.9</v>
      </c>
      <c r="R38" s="74"/>
      <c r="S38" s="74"/>
      <c r="T38" s="74"/>
      <c r="U38" s="74"/>
      <c r="V38" s="74" t="s">
        <v>717</v>
      </c>
      <c r="W38" s="74"/>
    </row>
    <row r="39" spans="1:23" x14ac:dyDescent="0.25">
      <c r="A39" s="13" t="s">
        <v>720</v>
      </c>
      <c r="B39" s="14">
        <v>2.5</v>
      </c>
      <c r="C39" s="18">
        <v>30</v>
      </c>
      <c r="D39" s="14">
        <f>SUM(B39:C39)</f>
        <v>32.5</v>
      </c>
      <c r="E39" s="15">
        <v>1</v>
      </c>
      <c r="F39" s="13" t="s">
        <v>716</v>
      </c>
      <c r="G39" s="20" t="s">
        <v>731</v>
      </c>
      <c r="H39" s="16" t="s">
        <v>725</v>
      </c>
      <c r="I39" s="67" t="s">
        <v>847</v>
      </c>
      <c r="J39" s="67" t="s">
        <v>759</v>
      </c>
      <c r="K39" s="13" t="s">
        <v>760</v>
      </c>
      <c r="L39" s="13"/>
      <c r="M39" s="13" t="s">
        <v>844</v>
      </c>
      <c r="N39" s="74"/>
      <c r="O39" s="74"/>
      <c r="P39" s="74"/>
      <c r="Q39" s="74"/>
      <c r="R39" s="74"/>
      <c r="S39" s="74"/>
      <c r="T39" s="74"/>
      <c r="U39" s="74"/>
      <c r="V39" s="75"/>
      <c r="W39" s="74"/>
    </row>
    <row r="40" spans="1:23" x14ac:dyDescent="0.25">
      <c r="A40" s="20" t="s">
        <v>720</v>
      </c>
      <c r="B40" s="29">
        <v>1.5</v>
      </c>
      <c r="C40" s="29" t="s">
        <v>731</v>
      </c>
      <c r="D40" s="29">
        <f>SUM(B40:C40)</f>
        <v>1.5</v>
      </c>
      <c r="E40" s="20">
        <v>1</v>
      </c>
      <c r="F40" s="20" t="s">
        <v>718</v>
      </c>
      <c r="G40" s="20" t="s">
        <v>731</v>
      </c>
      <c r="H40" s="30" t="s">
        <v>59</v>
      </c>
      <c r="I40" s="9" t="s">
        <v>739</v>
      </c>
      <c r="J40" s="9" t="s">
        <v>738</v>
      </c>
      <c r="K40" s="20" t="s">
        <v>1143</v>
      </c>
      <c r="L40" s="15"/>
      <c r="M40" s="20" t="s">
        <v>804</v>
      </c>
      <c r="N40" s="78"/>
      <c r="O40" s="78"/>
      <c r="P40" s="78"/>
      <c r="Q40" s="75"/>
      <c r="R40" s="75"/>
      <c r="S40" s="75"/>
      <c r="T40" s="75"/>
      <c r="U40" s="74"/>
      <c r="V40" s="75">
        <f>(15+40)/2</f>
        <v>27.5</v>
      </c>
      <c r="W40" s="75">
        <v>29</v>
      </c>
    </row>
    <row r="41" spans="1:23" x14ac:dyDescent="0.25">
      <c r="A41" s="13" t="s">
        <v>720</v>
      </c>
      <c r="B41" s="14">
        <v>1</v>
      </c>
      <c r="C41" s="14">
        <v>12.5</v>
      </c>
      <c r="D41" s="14">
        <f>1+12.5</f>
        <v>13.5</v>
      </c>
      <c r="E41" s="15">
        <v>1</v>
      </c>
      <c r="F41" s="13" t="s">
        <v>718</v>
      </c>
      <c r="G41" s="13" t="s">
        <v>731</v>
      </c>
      <c r="H41" s="16" t="s">
        <v>725</v>
      </c>
      <c r="I41" s="65" t="s">
        <v>780</v>
      </c>
      <c r="J41" s="66" t="s">
        <v>782</v>
      </c>
      <c r="K41" s="13" t="s">
        <v>841</v>
      </c>
      <c r="L41" s="19"/>
      <c r="M41" s="13" t="s">
        <v>910</v>
      </c>
      <c r="N41" s="74"/>
      <c r="O41" s="74"/>
      <c r="P41" s="74"/>
      <c r="Q41" s="74">
        <v>41.98</v>
      </c>
      <c r="R41" s="74">
        <v>1.2</v>
      </c>
      <c r="S41" s="74"/>
      <c r="T41" s="74"/>
      <c r="U41" s="74"/>
      <c r="V41" s="74"/>
      <c r="W41" s="74">
        <v>13.5</v>
      </c>
    </row>
    <row r="42" spans="1:23" x14ac:dyDescent="0.25">
      <c r="A42" s="13" t="s">
        <v>720</v>
      </c>
      <c r="B42" s="14" t="s">
        <v>731</v>
      </c>
      <c r="C42" s="18" t="s">
        <v>731</v>
      </c>
      <c r="D42" s="18">
        <v>3</v>
      </c>
      <c r="E42" s="15">
        <v>1</v>
      </c>
      <c r="F42" s="13" t="s">
        <v>718</v>
      </c>
      <c r="G42" s="13" t="s">
        <v>731</v>
      </c>
      <c r="H42" s="16" t="s">
        <v>725</v>
      </c>
      <c r="I42" s="65" t="s">
        <v>790</v>
      </c>
      <c r="J42" s="65" t="s">
        <v>842</v>
      </c>
      <c r="K42" s="13"/>
      <c r="L42" s="13"/>
      <c r="M42" s="13" t="s">
        <v>805</v>
      </c>
      <c r="N42" s="75"/>
      <c r="O42" s="75"/>
      <c r="P42" s="75"/>
      <c r="Q42" s="74"/>
      <c r="R42" s="74"/>
      <c r="S42" s="74"/>
      <c r="T42" s="74"/>
      <c r="U42" s="74"/>
      <c r="V42" s="74"/>
      <c r="W42" s="74">
        <v>3</v>
      </c>
    </row>
    <row r="43" spans="1:23" x14ac:dyDescent="0.25">
      <c r="A43" s="13" t="s">
        <v>720</v>
      </c>
      <c r="B43" s="14" t="s">
        <v>731</v>
      </c>
      <c r="C43" s="14" t="s">
        <v>731</v>
      </c>
      <c r="D43" s="14">
        <v>31</v>
      </c>
      <c r="E43" s="15">
        <v>1</v>
      </c>
      <c r="F43" s="13" t="s">
        <v>718</v>
      </c>
      <c r="G43" s="13" t="s">
        <v>731</v>
      </c>
      <c r="H43" s="16" t="s">
        <v>725</v>
      </c>
      <c r="I43" s="65" t="s">
        <v>791</v>
      </c>
      <c r="J43" s="66" t="s">
        <v>800</v>
      </c>
      <c r="K43" s="13" t="s">
        <v>809</v>
      </c>
      <c r="L43" s="13"/>
      <c r="M43" s="13" t="s">
        <v>845</v>
      </c>
      <c r="N43" s="74"/>
      <c r="O43" s="74"/>
      <c r="P43" s="74"/>
      <c r="Q43" s="74"/>
      <c r="R43" s="74"/>
      <c r="S43" s="74"/>
      <c r="T43" s="74"/>
      <c r="U43" s="74"/>
      <c r="V43" s="74">
        <v>0</v>
      </c>
      <c r="W43" s="74"/>
    </row>
    <row r="44" spans="1:23" x14ac:dyDescent="0.25">
      <c r="A44" s="13" t="s">
        <v>720</v>
      </c>
      <c r="B44" s="14">
        <f>2+3</f>
        <v>5</v>
      </c>
      <c r="C44" s="14">
        <v>24</v>
      </c>
      <c r="D44" s="14">
        <f>SUM(B44:C44)</f>
        <v>29</v>
      </c>
      <c r="E44" s="15">
        <v>1</v>
      </c>
      <c r="F44" s="13" t="s">
        <v>718</v>
      </c>
      <c r="G44" s="13" t="s">
        <v>731</v>
      </c>
      <c r="H44" s="16" t="s">
        <v>725</v>
      </c>
      <c r="I44" s="65" t="s">
        <v>728</v>
      </c>
      <c r="J44" s="66" t="s">
        <v>729</v>
      </c>
      <c r="K44" s="13"/>
      <c r="L44" s="13"/>
      <c r="M44" s="13" t="s">
        <v>843</v>
      </c>
      <c r="N44" s="74"/>
      <c r="O44" s="74"/>
      <c r="P44" s="74"/>
      <c r="Q44" s="74">
        <v>20</v>
      </c>
      <c r="R44" s="74">
        <v>2</v>
      </c>
      <c r="S44" s="74"/>
      <c r="T44" s="74"/>
      <c r="U44" s="74"/>
      <c r="V44" s="74">
        <v>3</v>
      </c>
      <c r="W44" s="74"/>
    </row>
    <row r="45" spans="1:23" x14ac:dyDescent="0.25">
      <c r="A45" s="13" t="s">
        <v>720</v>
      </c>
      <c r="B45" s="14">
        <f>0.12*0.9*100</f>
        <v>10.8</v>
      </c>
      <c r="C45" s="14">
        <v>10</v>
      </c>
      <c r="D45" s="14">
        <f>0.12*0.9*100+10</f>
        <v>20.8</v>
      </c>
      <c r="E45" s="15">
        <v>1</v>
      </c>
      <c r="F45" s="13" t="s">
        <v>718</v>
      </c>
      <c r="G45" s="13" t="s">
        <v>731</v>
      </c>
      <c r="H45" s="16" t="s">
        <v>725</v>
      </c>
      <c r="I45" s="65" t="s">
        <v>746</v>
      </c>
      <c r="J45" s="65" t="s">
        <v>745</v>
      </c>
      <c r="K45" s="13" t="s">
        <v>810</v>
      </c>
      <c r="L45" s="13"/>
      <c r="M45" s="13" t="s">
        <v>850</v>
      </c>
      <c r="N45" s="74"/>
      <c r="O45" s="74"/>
      <c r="P45" s="74"/>
      <c r="Q45" s="74"/>
      <c r="R45" s="74"/>
      <c r="S45" s="74"/>
      <c r="T45" s="74"/>
      <c r="U45" s="74"/>
      <c r="V45" s="74"/>
      <c r="W45" s="74"/>
    </row>
    <row r="46" spans="1:23" x14ac:dyDescent="0.25">
      <c r="A46" s="13" t="s">
        <v>720</v>
      </c>
      <c r="B46" s="14">
        <v>2</v>
      </c>
      <c r="C46" s="14" t="s">
        <v>731</v>
      </c>
      <c r="D46" s="14">
        <f>SUM(B46:C46)</f>
        <v>2</v>
      </c>
      <c r="E46" s="15">
        <v>1</v>
      </c>
      <c r="F46" s="13" t="s">
        <v>718</v>
      </c>
      <c r="G46" s="13" t="s">
        <v>731</v>
      </c>
      <c r="H46" s="16" t="s">
        <v>725</v>
      </c>
      <c r="I46" s="65" t="s">
        <v>749</v>
      </c>
      <c r="J46" s="66" t="s">
        <v>748</v>
      </c>
      <c r="K46" s="13" t="s">
        <v>764</v>
      </c>
      <c r="L46" s="13"/>
      <c r="M46" s="13" t="s">
        <v>851</v>
      </c>
      <c r="N46" s="74"/>
      <c r="O46" s="74"/>
      <c r="P46" s="74"/>
      <c r="Q46" s="74"/>
      <c r="R46" s="74"/>
      <c r="S46" s="74"/>
      <c r="T46" s="74"/>
      <c r="U46" s="74"/>
      <c r="V46" s="74"/>
      <c r="W46" s="74"/>
    </row>
    <row r="47" spans="1:23" x14ac:dyDescent="0.25">
      <c r="A47" s="13" t="s">
        <v>720</v>
      </c>
      <c r="B47" s="14">
        <v>1.5</v>
      </c>
      <c r="C47" s="14" t="s">
        <v>731</v>
      </c>
      <c r="D47" s="14">
        <f>SUM(B47:C47)</f>
        <v>1.5</v>
      </c>
      <c r="E47" s="15">
        <v>1</v>
      </c>
      <c r="F47" s="13" t="s">
        <v>718</v>
      </c>
      <c r="G47" s="13" t="s">
        <v>731</v>
      </c>
      <c r="H47" s="16" t="s">
        <v>13</v>
      </c>
      <c r="I47" s="65" t="s">
        <v>846</v>
      </c>
      <c r="J47" s="65" t="s">
        <v>770</v>
      </c>
      <c r="K47" s="13" t="s">
        <v>815</v>
      </c>
      <c r="L47" s="13"/>
      <c r="M47" s="13" t="s">
        <v>839</v>
      </c>
      <c r="N47" s="74"/>
      <c r="O47" s="74"/>
      <c r="P47" s="74"/>
      <c r="Q47" s="74"/>
      <c r="R47" s="74"/>
      <c r="S47" s="74"/>
      <c r="T47" s="74"/>
      <c r="U47" s="74"/>
      <c r="V47" s="74">
        <v>30</v>
      </c>
      <c r="W47" s="74">
        <v>31.5</v>
      </c>
    </row>
    <row r="48" spans="1:23" x14ac:dyDescent="0.25">
      <c r="A48" s="13" t="s">
        <v>720</v>
      </c>
      <c r="B48" s="18">
        <v>3</v>
      </c>
      <c r="C48" s="18" t="s">
        <v>731</v>
      </c>
      <c r="D48" s="18">
        <f t="shared" ref="D48:D49" si="3">SUM(B48:C48)</f>
        <v>3</v>
      </c>
      <c r="E48" s="15">
        <v>1</v>
      </c>
      <c r="F48" s="13" t="s">
        <v>718</v>
      </c>
      <c r="G48" s="13" t="s">
        <v>731</v>
      </c>
      <c r="H48" s="16" t="s">
        <v>725</v>
      </c>
      <c r="I48" s="65" t="s">
        <v>794</v>
      </c>
      <c r="J48" s="66" t="s">
        <v>802</v>
      </c>
      <c r="K48" s="13" t="s">
        <v>971</v>
      </c>
      <c r="L48" s="19" t="s">
        <v>1163</v>
      </c>
      <c r="M48" s="13" t="s">
        <v>806</v>
      </c>
      <c r="N48" s="74"/>
      <c r="O48" s="74"/>
      <c r="P48" s="74"/>
      <c r="Q48" s="74"/>
      <c r="R48" s="74"/>
      <c r="S48" s="74"/>
      <c r="T48" s="74"/>
      <c r="U48" s="74"/>
      <c r="V48" s="74"/>
      <c r="W48" s="74"/>
    </row>
    <row r="49" spans="1:23" x14ac:dyDescent="0.25">
      <c r="A49" s="13" t="s">
        <v>720</v>
      </c>
      <c r="B49" s="14">
        <v>6</v>
      </c>
      <c r="C49" s="14" t="s">
        <v>731</v>
      </c>
      <c r="D49" s="14">
        <f t="shared" si="3"/>
        <v>6</v>
      </c>
      <c r="E49" s="15">
        <v>1</v>
      </c>
      <c r="F49" s="13" t="s">
        <v>718</v>
      </c>
      <c r="G49" s="13" t="s">
        <v>731</v>
      </c>
      <c r="H49" s="16" t="s">
        <v>725</v>
      </c>
      <c r="I49" s="65" t="s">
        <v>795</v>
      </c>
      <c r="J49" s="65" t="s">
        <v>1008</v>
      </c>
      <c r="K49" s="13" t="s">
        <v>852</v>
      </c>
      <c r="L49" s="13"/>
      <c r="M49" s="13"/>
      <c r="N49" s="74"/>
      <c r="O49" s="74"/>
      <c r="P49" s="74"/>
      <c r="Q49" s="74"/>
      <c r="R49" s="74"/>
      <c r="S49" s="74"/>
      <c r="T49" s="74"/>
      <c r="U49" s="74"/>
      <c r="V49" s="74"/>
      <c r="W49" s="74"/>
    </row>
    <row r="50" spans="1:23" x14ac:dyDescent="0.25">
      <c r="A50" s="13" t="s">
        <v>720</v>
      </c>
      <c r="B50" s="14" t="s">
        <v>731</v>
      </c>
      <c r="C50" s="18">
        <f>(15+0)/2</f>
        <v>7.5</v>
      </c>
      <c r="D50" s="18">
        <f>C50</f>
        <v>7.5</v>
      </c>
      <c r="E50" s="15">
        <v>1</v>
      </c>
      <c r="F50" s="13" t="s">
        <v>716</v>
      </c>
      <c r="G50" s="13" t="s">
        <v>218</v>
      </c>
      <c r="H50" s="16" t="s">
        <v>59</v>
      </c>
      <c r="I50" s="65" t="s">
        <v>993</v>
      </c>
      <c r="J50" s="65" t="s">
        <v>731</v>
      </c>
      <c r="K50" s="13"/>
      <c r="L50" s="13" t="s">
        <v>996</v>
      </c>
      <c r="M50" s="13"/>
      <c r="N50" s="75"/>
      <c r="O50" s="75"/>
      <c r="P50" s="75"/>
      <c r="Q50" s="74"/>
      <c r="R50" s="74"/>
      <c r="S50" s="74"/>
      <c r="T50" s="74"/>
      <c r="U50" s="74"/>
      <c r="V50" s="74"/>
      <c r="W50" s="75">
        <f>(15+0)/2</f>
        <v>7.5</v>
      </c>
    </row>
    <row r="51" spans="1:23" x14ac:dyDescent="0.25">
      <c r="A51" s="23" t="s">
        <v>118</v>
      </c>
      <c r="B51" s="32" t="s">
        <v>731</v>
      </c>
      <c r="C51" s="32" t="s">
        <v>731</v>
      </c>
      <c r="D51" s="33" t="s">
        <v>731</v>
      </c>
      <c r="E51" s="34">
        <v>2</v>
      </c>
      <c r="F51" s="23" t="s">
        <v>12</v>
      </c>
      <c r="G51" s="23" t="s">
        <v>218</v>
      </c>
      <c r="H51" s="23" t="s">
        <v>13</v>
      </c>
      <c r="I51" s="69" t="s">
        <v>119</v>
      </c>
      <c r="J51" s="65" t="s">
        <v>1162</v>
      </c>
      <c r="K51" s="21" t="s">
        <v>222</v>
      </c>
      <c r="L51" s="21" t="s">
        <v>818</v>
      </c>
      <c r="M51" s="21"/>
      <c r="N51" s="87"/>
      <c r="O51" s="87"/>
      <c r="P51" s="87"/>
      <c r="Q51" s="89">
        <v>0.4</v>
      </c>
      <c r="R51" s="89">
        <v>0.7</v>
      </c>
      <c r="S51" s="89">
        <v>0.2</v>
      </c>
      <c r="T51" s="89">
        <v>0.3</v>
      </c>
      <c r="U51" s="87"/>
      <c r="V51" s="87"/>
      <c r="W51" s="87"/>
    </row>
    <row r="52" spans="1:23" x14ac:dyDescent="0.25">
      <c r="A52" s="23" t="s">
        <v>118</v>
      </c>
      <c r="B52" s="32">
        <v>45</v>
      </c>
      <c r="C52" s="32">
        <v>25</v>
      </c>
      <c r="D52" s="33">
        <f t="shared" ref="D52:D83" si="4">SUM(B52:C52)</f>
        <v>70</v>
      </c>
      <c r="E52" s="34">
        <v>6</v>
      </c>
      <c r="F52" s="23" t="s">
        <v>12</v>
      </c>
      <c r="G52" s="23" t="s">
        <v>218</v>
      </c>
      <c r="H52" s="23" t="s">
        <v>725</v>
      </c>
      <c r="I52" s="69" t="s">
        <v>119</v>
      </c>
      <c r="J52" s="69" t="s">
        <v>1022</v>
      </c>
      <c r="K52" s="21" t="s">
        <v>222</v>
      </c>
      <c r="L52" s="21" t="s">
        <v>818</v>
      </c>
      <c r="M52" s="21"/>
      <c r="N52" s="89"/>
      <c r="O52" s="89"/>
      <c r="P52" s="89"/>
      <c r="Q52" s="87"/>
      <c r="R52" s="87"/>
      <c r="S52" s="87"/>
      <c r="T52" s="87"/>
      <c r="U52" s="87"/>
      <c r="V52" s="87"/>
      <c r="W52" s="87"/>
    </row>
    <row r="53" spans="1:23" x14ac:dyDescent="0.25">
      <c r="A53" s="23" t="s">
        <v>118</v>
      </c>
      <c r="B53" s="32">
        <v>32</v>
      </c>
      <c r="C53" s="22" t="s">
        <v>731</v>
      </c>
      <c r="D53" s="32">
        <f t="shared" si="4"/>
        <v>32</v>
      </c>
      <c r="E53" s="34">
        <v>12</v>
      </c>
      <c r="F53" s="23" t="s">
        <v>12</v>
      </c>
      <c r="G53" s="23" t="s">
        <v>218</v>
      </c>
      <c r="H53" s="23" t="s">
        <v>13</v>
      </c>
      <c r="I53" s="69" t="s">
        <v>120</v>
      </c>
      <c r="J53" s="69" t="s">
        <v>1032</v>
      </c>
      <c r="K53" s="21" t="s">
        <v>222</v>
      </c>
      <c r="L53" s="21" t="s">
        <v>818</v>
      </c>
      <c r="M53" s="21"/>
      <c r="N53" s="89"/>
      <c r="O53" s="89"/>
      <c r="P53" s="89"/>
      <c r="Q53" s="87"/>
      <c r="R53" s="87"/>
      <c r="S53" s="87"/>
      <c r="T53" s="87"/>
      <c r="U53" s="87"/>
      <c r="V53" s="87"/>
      <c r="W53" s="87"/>
    </row>
    <row r="54" spans="1:23" x14ac:dyDescent="0.25">
      <c r="A54" s="23" t="s">
        <v>118</v>
      </c>
      <c r="B54" s="37">
        <v>19.3</v>
      </c>
      <c r="C54" s="22" t="s">
        <v>731</v>
      </c>
      <c r="D54" s="32">
        <f t="shared" si="4"/>
        <v>19.3</v>
      </c>
      <c r="E54" s="34">
        <v>1</v>
      </c>
      <c r="F54" s="23" t="s">
        <v>12</v>
      </c>
      <c r="G54" s="23" t="s">
        <v>218</v>
      </c>
      <c r="H54" s="23" t="s">
        <v>13</v>
      </c>
      <c r="I54" s="69" t="s">
        <v>121</v>
      </c>
      <c r="J54" s="69" t="s">
        <v>1034</v>
      </c>
      <c r="K54" s="21" t="s">
        <v>222</v>
      </c>
      <c r="L54" s="21" t="s">
        <v>818</v>
      </c>
      <c r="M54" s="21" t="s">
        <v>1033</v>
      </c>
      <c r="N54" s="90"/>
      <c r="O54" s="90"/>
      <c r="P54" s="90"/>
      <c r="Q54" s="87"/>
      <c r="R54" s="87"/>
      <c r="S54" s="87"/>
      <c r="T54" s="87"/>
      <c r="U54" s="87"/>
      <c r="V54" s="87"/>
      <c r="W54" s="87"/>
    </row>
    <row r="55" spans="1:23" x14ac:dyDescent="0.25">
      <c r="A55" s="23" t="s">
        <v>118</v>
      </c>
      <c r="B55" s="38">
        <f>13/29*17.83+10/29*16.75+6/29*11.72</f>
        <v>16.193448275862067</v>
      </c>
      <c r="C55" s="22" t="s">
        <v>731</v>
      </c>
      <c r="D55" s="39">
        <f t="shared" si="4"/>
        <v>16.193448275862067</v>
      </c>
      <c r="E55" s="34">
        <v>29</v>
      </c>
      <c r="F55" s="23" t="s">
        <v>15</v>
      </c>
      <c r="G55" s="23" t="s">
        <v>218</v>
      </c>
      <c r="H55" s="23" t="s">
        <v>13</v>
      </c>
      <c r="I55" s="69" t="s">
        <v>122</v>
      </c>
      <c r="J55" s="69" t="s">
        <v>1035</v>
      </c>
      <c r="K55" s="21" t="s">
        <v>222</v>
      </c>
      <c r="L55" s="21" t="s">
        <v>818</v>
      </c>
      <c r="M55" s="21"/>
      <c r="N55" s="89"/>
      <c r="O55" s="89"/>
      <c r="P55" s="89"/>
      <c r="Q55" s="87"/>
      <c r="R55" s="87"/>
      <c r="S55" s="87"/>
      <c r="T55" s="87"/>
      <c r="U55" s="87"/>
      <c r="V55" s="87"/>
      <c r="W55" s="87"/>
    </row>
    <row r="56" spans="1:23" x14ac:dyDescent="0.25">
      <c r="A56" s="23" t="s">
        <v>118</v>
      </c>
      <c r="B56" s="32">
        <v>38.299999999999997</v>
      </c>
      <c r="C56" s="22" t="s">
        <v>731</v>
      </c>
      <c r="D56" s="32">
        <f t="shared" si="4"/>
        <v>38.299999999999997</v>
      </c>
      <c r="E56" s="34">
        <v>12</v>
      </c>
      <c r="F56" s="23" t="s">
        <v>12</v>
      </c>
      <c r="G56" s="23" t="s">
        <v>220</v>
      </c>
      <c r="H56" s="23" t="s">
        <v>13</v>
      </c>
      <c r="I56" s="69" t="s">
        <v>123</v>
      </c>
      <c r="J56" s="69" t="s">
        <v>1036</v>
      </c>
      <c r="K56" s="21" t="s">
        <v>222</v>
      </c>
      <c r="L56" s="21" t="s">
        <v>818</v>
      </c>
      <c r="M56" s="21" t="s">
        <v>1037</v>
      </c>
      <c r="N56" s="89"/>
      <c r="O56" s="89"/>
      <c r="P56" s="89"/>
      <c r="Q56" s="89">
        <v>2.7</v>
      </c>
      <c r="R56" s="87"/>
      <c r="S56" s="87"/>
      <c r="T56" s="87"/>
      <c r="U56" s="87"/>
      <c r="V56" s="87"/>
      <c r="W56" s="87"/>
    </row>
    <row r="57" spans="1:23" x14ac:dyDescent="0.25">
      <c r="A57" s="23" t="s">
        <v>118</v>
      </c>
      <c r="B57" s="32">
        <v>61.2</v>
      </c>
      <c r="C57" s="22" t="s">
        <v>731</v>
      </c>
      <c r="D57" s="32">
        <f t="shared" si="4"/>
        <v>61.2</v>
      </c>
      <c r="E57" s="34">
        <v>12</v>
      </c>
      <c r="F57" s="23" t="s">
        <v>12</v>
      </c>
      <c r="G57" s="23" t="s">
        <v>220</v>
      </c>
      <c r="H57" s="23" t="s">
        <v>13</v>
      </c>
      <c r="I57" s="69" t="s">
        <v>123</v>
      </c>
      <c r="J57" s="69" t="s">
        <v>1036</v>
      </c>
      <c r="K57" s="21" t="s">
        <v>222</v>
      </c>
      <c r="L57" s="21" t="s">
        <v>818</v>
      </c>
      <c r="M57" s="21" t="s">
        <v>1037</v>
      </c>
      <c r="N57" s="89"/>
      <c r="O57" s="89"/>
      <c r="P57" s="89"/>
      <c r="Q57" s="89">
        <v>2.2000000000000002</v>
      </c>
      <c r="R57" s="87"/>
      <c r="S57" s="87"/>
      <c r="T57" s="87"/>
      <c r="U57" s="87"/>
      <c r="V57" s="87"/>
      <c r="W57" s="87"/>
    </row>
    <row r="58" spans="1:23" x14ac:dyDescent="0.25">
      <c r="A58" s="23" t="s">
        <v>118</v>
      </c>
      <c r="B58" s="32">
        <v>58</v>
      </c>
      <c r="C58" s="22" t="s">
        <v>731</v>
      </c>
      <c r="D58" s="22">
        <f t="shared" si="4"/>
        <v>58</v>
      </c>
      <c r="E58" s="34">
        <v>1</v>
      </c>
      <c r="F58" s="23" t="s">
        <v>12</v>
      </c>
      <c r="G58" s="23" t="s">
        <v>218</v>
      </c>
      <c r="H58" s="23" t="s">
        <v>13</v>
      </c>
      <c r="I58" s="69" t="s">
        <v>124</v>
      </c>
      <c r="J58" s="65" t="s">
        <v>1162</v>
      </c>
      <c r="K58" s="21" t="s">
        <v>222</v>
      </c>
      <c r="L58" s="21" t="s">
        <v>818</v>
      </c>
      <c r="M58" s="21"/>
      <c r="N58" s="89"/>
      <c r="O58" s="89"/>
      <c r="P58" s="89"/>
      <c r="Q58" s="87"/>
      <c r="R58" s="87"/>
      <c r="S58" s="87"/>
      <c r="T58" s="87"/>
      <c r="U58" s="87"/>
      <c r="V58" s="87"/>
      <c r="W58" s="87"/>
    </row>
    <row r="59" spans="1:23" x14ac:dyDescent="0.25">
      <c r="A59" s="23" t="s">
        <v>118</v>
      </c>
      <c r="B59" s="32">
        <v>31</v>
      </c>
      <c r="C59" s="22" t="s">
        <v>731</v>
      </c>
      <c r="D59" s="32">
        <f t="shared" si="4"/>
        <v>31</v>
      </c>
      <c r="E59" s="34">
        <v>12</v>
      </c>
      <c r="F59" s="23" t="s">
        <v>12</v>
      </c>
      <c r="G59" s="23" t="s">
        <v>218</v>
      </c>
      <c r="H59" s="23" t="s">
        <v>13</v>
      </c>
      <c r="I59" s="69" t="s">
        <v>125</v>
      </c>
      <c r="J59" s="65" t="s">
        <v>1162</v>
      </c>
      <c r="K59" s="21" t="s">
        <v>222</v>
      </c>
      <c r="L59" s="21" t="s">
        <v>818</v>
      </c>
      <c r="M59" s="21"/>
      <c r="N59" s="89"/>
      <c r="O59" s="89"/>
      <c r="P59" s="89"/>
      <c r="Q59" s="87"/>
      <c r="R59" s="87"/>
      <c r="S59" s="87"/>
      <c r="T59" s="87"/>
      <c r="U59" s="87"/>
      <c r="V59" s="87"/>
      <c r="W59" s="87"/>
    </row>
    <row r="60" spans="1:23" x14ac:dyDescent="0.25">
      <c r="A60" s="23" t="s">
        <v>118</v>
      </c>
      <c r="B60" s="32">
        <v>15</v>
      </c>
      <c r="C60" s="22" t="s">
        <v>731</v>
      </c>
      <c r="D60" s="32">
        <f t="shared" si="4"/>
        <v>15</v>
      </c>
      <c r="E60" s="34">
        <v>12</v>
      </c>
      <c r="F60" s="23" t="s">
        <v>12</v>
      </c>
      <c r="G60" s="23" t="s">
        <v>218</v>
      </c>
      <c r="H60" s="23" t="s">
        <v>13</v>
      </c>
      <c r="I60" s="69" t="s">
        <v>125</v>
      </c>
      <c r="J60" s="65" t="s">
        <v>1162</v>
      </c>
      <c r="K60" s="21" t="s">
        <v>222</v>
      </c>
      <c r="L60" s="21" t="s">
        <v>818</v>
      </c>
      <c r="M60" s="21"/>
      <c r="N60" s="89"/>
      <c r="O60" s="89"/>
      <c r="P60" s="89"/>
      <c r="Q60" s="87"/>
      <c r="R60" s="87"/>
      <c r="S60" s="87"/>
      <c r="T60" s="87"/>
      <c r="U60" s="87"/>
      <c r="V60" s="87"/>
      <c r="W60" s="87"/>
    </row>
    <row r="61" spans="1:23" x14ac:dyDescent="0.25">
      <c r="A61" s="23" t="s">
        <v>118</v>
      </c>
      <c r="B61" s="32">
        <v>75.099999999999994</v>
      </c>
      <c r="C61" s="32" t="s">
        <v>731</v>
      </c>
      <c r="D61" s="32">
        <f t="shared" si="4"/>
        <v>75.099999999999994</v>
      </c>
      <c r="E61" s="34">
        <v>11</v>
      </c>
      <c r="F61" s="23" t="s">
        <v>12</v>
      </c>
      <c r="G61" s="23" t="s">
        <v>218</v>
      </c>
      <c r="H61" s="23" t="s">
        <v>13</v>
      </c>
      <c r="I61" s="67" t="s">
        <v>126</v>
      </c>
      <c r="J61" s="65" t="s">
        <v>1162</v>
      </c>
      <c r="K61" s="21" t="s">
        <v>222</v>
      </c>
      <c r="L61" s="21" t="s">
        <v>818</v>
      </c>
      <c r="M61" s="21"/>
      <c r="N61" s="89"/>
      <c r="O61" s="89"/>
      <c r="P61" s="89"/>
      <c r="Q61" s="87"/>
      <c r="R61" s="87"/>
      <c r="S61" s="87"/>
      <c r="T61" s="87"/>
      <c r="U61" s="87"/>
      <c r="V61" s="87"/>
      <c r="W61" s="87"/>
    </row>
    <row r="62" spans="1:23" x14ac:dyDescent="0.25">
      <c r="A62" s="23" t="s">
        <v>118</v>
      </c>
      <c r="B62" s="32">
        <v>48.3</v>
      </c>
      <c r="C62" s="32" t="s">
        <v>731</v>
      </c>
      <c r="D62" s="32">
        <f t="shared" si="4"/>
        <v>48.3</v>
      </c>
      <c r="E62" s="34">
        <v>11</v>
      </c>
      <c r="F62" s="23" t="s">
        <v>12</v>
      </c>
      <c r="G62" s="23" t="s">
        <v>218</v>
      </c>
      <c r="H62" s="23" t="s">
        <v>13</v>
      </c>
      <c r="I62" s="67" t="s">
        <v>126</v>
      </c>
      <c r="J62" s="65" t="s">
        <v>1162</v>
      </c>
      <c r="K62" s="21" t="s">
        <v>222</v>
      </c>
      <c r="L62" s="21" t="s">
        <v>818</v>
      </c>
      <c r="M62" s="21"/>
      <c r="N62" s="89"/>
      <c r="O62" s="89"/>
      <c r="P62" s="89"/>
      <c r="Q62" s="87"/>
      <c r="R62" s="87"/>
      <c r="S62" s="87"/>
      <c r="T62" s="87"/>
      <c r="U62" s="87"/>
      <c r="V62" s="87"/>
      <c r="W62" s="87"/>
    </row>
    <row r="63" spans="1:23" x14ac:dyDescent="0.25">
      <c r="A63" s="23" t="s">
        <v>118</v>
      </c>
      <c r="B63" s="32">
        <v>37.200000000000003</v>
      </c>
      <c r="C63" s="22" t="s">
        <v>731</v>
      </c>
      <c r="D63" s="22">
        <f t="shared" si="4"/>
        <v>37.200000000000003</v>
      </c>
      <c r="E63" s="34">
        <v>14</v>
      </c>
      <c r="F63" s="23" t="s">
        <v>12</v>
      </c>
      <c r="G63" s="23" t="s">
        <v>218</v>
      </c>
      <c r="H63" s="23" t="s">
        <v>13</v>
      </c>
      <c r="I63" s="67" t="s">
        <v>127</v>
      </c>
      <c r="J63" s="67" t="s">
        <v>1038</v>
      </c>
      <c r="K63" s="21" t="s">
        <v>222</v>
      </c>
      <c r="L63" s="21" t="s">
        <v>818</v>
      </c>
      <c r="M63" s="21"/>
      <c r="N63" s="89"/>
      <c r="O63" s="89"/>
      <c r="P63" s="89"/>
      <c r="Q63" s="87"/>
      <c r="R63" s="87"/>
      <c r="S63" s="87"/>
      <c r="T63" s="87"/>
      <c r="U63" s="87"/>
      <c r="V63" s="87"/>
      <c r="W63" s="87"/>
    </row>
    <row r="64" spans="1:23" x14ac:dyDescent="0.25">
      <c r="A64" s="23" t="s">
        <v>118</v>
      </c>
      <c r="B64" s="32">
        <v>32.4</v>
      </c>
      <c r="C64" s="22" t="s">
        <v>731</v>
      </c>
      <c r="D64" s="22">
        <f t="shared" si="4"/>
        <v>32.4</v>
      </c>
      <c r="E64" s="34">
        <v>27</v>
      </c>
      <c r="F64" s="23" t="s">
        <v>12</v>
      </c>
      <c r="G64" s="23" t="s">
        <v>218</v>
      </c>
      <c r="H64" s="23" t="s">
        <v>13</v>
      </c>
      <c r="I64" s="67" t="s">
        <v>128</v>
      </c>
      <c r="J64" s="65" t="s">
        <v>1162</v>
      </c>
      <c r="K64" s="21" t="s">
        <v>222</v>
      </c>
      <c r="L64" s="21" t="s">
        <v>818</v>
      </c>
      <c r="M64" s="21"/>
      <c r="N64" s="89"/>
      <c r="O64" s="89"/>
      <c r="P64" s="89"/>
      <c r="Q64" s="87"/>
      <c r="R64" s="87"/>
      <c r="S64" s="87"/>
      <c r="T64" s="87"/>
      <c r="U64" s="87"/>
      <c r="V64" s="87"/>
      <c r="W64" s="87"/>
    </row>
    <row r="65" spans="1:23" x14ac:dyDescent="0.25">
      <c r="A65" s="23" t="s">
        <v>118</v>
      </c>
      <c r="B65" s="32">
        <v>40.5</v>
      </c>
      <c r="C65" s="22" t="s">
        <v>731</v>
      </c>
      <c r="D65" s="22">
        <f t="shared" si="4"/>
        <v>40.5</v>
      </c>
      <c r="E65" s="34">
        <v>12</v>
      </c>
      <c r="F65" s="23" t="s">
        <v>12</v>
      </c>
      <c r="G65" s="23" t="s">
        <v>218</v>
      </c>
      <c r="H65" s="23" t="s">
        <v>13</v>
      </c>
      <c r="I65" s="67" t="s">
        <v>129</v>
      </c>
      <c r="J65" s="65" t="s">
        <v>1162</v>
      </c>
      <c r="K65" s="21" t="s">
        <v>222</v>
      </c>
      <c r="L65" s="21" t="s">
        <v>818</v>
      </c>
      <c r="M65" s="21"/>
      <c r="N65" s="89"/>
      <c r="O65" s="89"/>
      <c r="P65" s="89"/>
      <c r="Q65" s="87"/>
      <c r="R65" s="87"/>
      <c r="S65" s="87"/>
      <c r="T65" s="87"/>
      <c r="U65" s="87"/>
      <c r="V65" s="87"/>
      <c r="W65" s="87"/>
    </row>
    <row r="66" spans="1:23" x14ac:dyDescent="0.25">
      <c r="A66" s="23" t="s">
        <v>118</v>
      </c>
      <c r="B66" s="32">
        <f>(26.94+29.82)/2</f>
        <v>28.380000000000003</v>
      </c>
      <c r="C66" s="22" t="s">
        <v>731</v>
      </c>
      <c r="D66" s="22">
        <f t="shared" si="4"/>
        <v>28.380000000000003</v>
      </c>
      <c r="E66" s="34">
        <v>54</v>
      </c>
      <c r="F66" s="23" t="s">
        <v>12</v>
      </c>
      <c r="G66" s="23" t="s">
        <v>218</v>
      </c>
      <c r="H66" s="23" t="s">
        <v>13</v>
      </c>
      <c r="I66" s="67" t="s">
        <v>130</v>
      </c>
      <c r="J66" s="67" t="s">
        <v>1039</v>
      </c>
      <c r="K66" s="21" t="s">
        <v>222</v>
      </c>
      <c r="L66" s="21" t="s">
        <v>818</v>
      </c>
      <c r="M66" s="21"/>
      <c r="N66" s="89"/>
      <c r="O66" s="89"/>
      <c r="P66" s="89"/>
      <c r="Q66" s="87"/>
      <c r="R66" s="87"/>
      <c r="S66" s="87"/>
      <c r="T66" s="87"/>
      <c r="U66" s="87"/>
      <c r="V66" s="87"/>
      <c r="W66" s="87"/>
    </row>
    <row r="67" spans="1:23" x14ac:dyDescent="0.25">
      <c r="A67" s="23" t="s">
        <v>118</v>
      </c>
      <c r="B67" s="22">
        <f>(27.97+33.13)/2</f>
        <v>30.55</v>
      </c>
      <c r="C67" s="22" t="s">
        <v>731</v>
      </c>
      <c r="D67" s="22">
        <f t="shared" si="4"/>
        <v>30.55</v>
      </c>
      <c r="E67" s="34">
        <v>54</v>
      </c>
      <c r="F67" s="23" t="s">
        <v>12</v>
      </c>
      <c r="G67" s="23" t="s">
        <v>218</v>
      </c>
      <c r="H67" s="23" t="s">
        <v>13</v>
      </c>
      <c r="I67" s="67" t="s">
        <v>130</v>
      </c>
      <c r="J67" s="67" t="s">
        <v>1039</v>
      </c>
      <c r="K67" s="21" t="s">
        <v>222</v>
      </c>
      <c r="L67" s="21" t="s">
        <v>818</v>
      </c>
      <c r="M67" s="21"/>
      <c r="N67" s="87"/>
      <c r="O67" s="87"/>
      <c r="P67" s="87"/>
      <c r="Q67" s="89">
        <v>0.6</v>
      </c>
      <c r="R67" s="89">
        <v>2.8</v>
      </c>
      <c r="S67" s="89">
        <v>3.5</v>
      </c>
      <c r="T67" s="87"/>
      <c r="U67" s="87"/>
      <c r="V67" s="87"/>
      <c r="W67" s="87"/>
    </row>
    <row r="68" spans="1:23" x14ac:dyDescent="0.25">
      <c r="A68" s="23" t="s">
        <v>118</v>
      </c>
      <c r="B68" s="32">
        <v>60.1</v>
      </c>
      <c r="C68" s="22" t="s">
        <v>731</v>
      </c>
      <c r="D68" s="22">
        <f t="shared" si="4"/>
        <v>60.1</v>
      </c>
      <c r="E68" s="34">
        <v>7</v>
      </c>
      <c r="F68" s="23" t="s">
        <v>12</v>
      </c>
      <c r="G68" s="23" t="s">
        <v>218</v>
      </c>
      <c r="H68" s="23" t="s">
        <v>13</v>
      </c>
      <c r="I68" s="67" t="s">
        <v>131</v>
      </c>
      <c r="J68" s="65" t="s">
        <v>1162</v>
      </c>
      <c r="K68" s="21" t="s">
        <v>222</v>
      </c>
      <c r="L68" s="21" t="s">
        <v>818</v>
      </c>
      <c r="M68" s="21"/>
      <c r="N68" s="89"/>
      <c r="O68" s="89"/>
      <c r="P68" s="89"/>
      <c r="Q68" s="87"/>
      <c r="R68" s="87"/>
      <c r="S68" s="87"/>
      <c r="T68" s="87"/>
      <c r="U68" s="87"/>
      <c r="V68" s="87"/>
      <c r="W68" s="87"/>
    </row>
    <row r="69" spans="1:23" x14ac:dyDescent="0.25">
      <c r="A69" s="23" t="s">
        <v>118</v>
      </c>
      <c r="B69" s="32">
        <v>39.9</v>
      </c>
      <c r="C69" s="22" t="s">
        <v>731</v>
      </c>
      <c r="D69" s="22">
        <f t="shared" si="4"/>
        <v>39.9</v>
      </c>
      <c r="E69" s="34">
        <v>8</v>
      </c>
      <c r="F69" s="23" t="s">
        <v>12</v>
      </c>
      <c r="G69" s="23" t="s">
        <v>218</v>
      </c>
      <c r="H69" s="23" t="s">
        <v>13</v>
      </c>
      <c r="I69" s="67" t="s">
        <v>131</v>
      </c>
      <c r="J69" s="65" t="s">
        <v>1162</v>
      </c>
      <c r="K69" s="21" t="s">
        <v>222</v>
      </c>
      <c r="L69" s="21" t="s">
        <v>818</v>
      </c>
      <c r="M69" s="21"/>
      <c r="N69" s="89"/>
      <c r="O69" s="89"/>
      <c r="P69" s="89"/>
      <c r="Q69" s="87"/>
      <c r="R69" s="87"/>
      <c r="S69" s="87"/>
      <c r="T69" s="87"/>
      <c r="U69" s="87"/>
      <c r="V69" s="87"/>
      <c r="W69" s="87"/>
    </row>
    <row r="70" spans="1:23" x14ac:dyDescent="0.25">
      <c r="A70" s="23" t="s">
        <v>118</v>
      </c>
      <c r="B70" s="32">
        <v>43.2</v>
      </c>
      <c r="C70" s="32" t="s">
        <v>731</v>
      </c>
      <c r="D70" s="32">
        <f t="shared" si="4"/>
        <v>43.2</v>
      </c>
      <c r="E70" s="34">
        <v>12</v>
      </c>
      <c r="F70" s="23" t="s">
        <v>12</v>
      </c>
      <c r="G70" s="23" t="s">
        <v>218</v>
      </c>
      <c r="H70" s="23" t="s">
        <v>13</v>
      </c>
      <c r="I70" s="67" t="s">
        <v>132</v>
      </c>
      <c r="J70" s="65" t="s">
        <v>1162</v>
      </c>
      <c r="K70" s="21" t="s">
        <v>222</v>
      </c>
      <c r="L70" s="21" t="s">
        <v>818</v>
      </c>
      <c r="M70" s="21"/>
      <c r="N70" s="89"/>
      <c r="O70" s="89"/>
      <c r="P70" s="89"/>
      <c r="Q70" s="87"/>
      <c r="R70" s="87"/>
      <c r="S70" s="87"/>
      <c r="T70" s="87"/>
      <c r="U70" s="87"/>
      <c r="V70" s="87"/>
      <c r="W70" s="87"/>
    </row>
    <row r="71" spans="1:23" x14ac:dyDescent="0.25">
      <c r="A71" s="23" t="s">
        <v>118</v>
      </c>
      <c r="B71" s="32">
        <v>39.9</v>
      </c>
      <c r="C71" s="22" t="s">
        <v>731</v>
      </c>
      <c r="D71" s="22">
        <f t="shared" si="4"/>
        <v>39.9</v>
      </c>
      <c r="E71" s="34">
        <v>12</v>
      </c>
      <c r="F71" s="23" t="s">
        <v>12</v>
      </c>
      <c r="G71" s="23" t="s">
        <v>218</v>
      </c>
      <c r="H71" s="23" t="s">
        <v>13</v>
      </c>
      <c r="I71" s="67" t="s">
        <v>133</v>
      </c>
      <c r="J71" s="65" t="s">
        <v>1162</v>
      </c>
      <c r="K71" s="21" t="s">
        <v>222</v>
      </c>
      <c r="L71" s="21" t="s">
        <v>818</v>
      </c>
      <c r="M71" s="21"/>
      <c r="N71" s="89"/>
      <c r="O71" s="89"/>
      <c r="P71" s="89"/>
      <c r="Q71" s="87"/>
      <c r="R71" s="87"/>
      <c r="S71" s="87"/>
      <c r="T71" s="87"/>
      <c r="U71" s="87"/>
      <c r="V71" s="87"/>
      <c r="W71" s="87"/>
    </row>
    <row r="72" spans="1:23" x14ac:dyDescent="0.25">
      <c r="A72" s="23" t="s">
        <v>118</v>
      </c>
      <c r="B72" s="32">
        <v>64.599999999999994</v>
      </c>
      <c r="C72" s="22" t="s">
        <v>731</v>
      </c>
      <c r="D72" s="32">
        <f t="shared" si="4"/>
        <v>64.599999999999994</v>
      </c>
      <c r="E72" s="34">
        <v>24</v>
      </c>
      <c r="F72" s="23" t="s">
        <v>12</v>
      </c>
      <c r="G72" s="23" t="s">
        <v>218</v>
      </c>
      <c r="H72" s="23" t="s">
        <v>13</v>
      </c>
      <c r="I72" s="67" t="s">
        <v>134</v>
      </c>
      <c r="J72" s="65" t="s">
        <v>1162</v>
      </c>
      <c r="K72" s="21" t="s">
        <v>222</v>
      </c>
      <c r="L72" s="21" t="s">
        <v>818</v>
      </c>
      <c r="M72" s="21"/>
      <c r="N72" s="89"/>
      <c r="O72" s="89"/>
      <c r="P72" s="89"/>
      <c r="Q72" s="87"/>
      <c r="R72" s="87"/>
      <c r="S72" s="87"/>
      <c r="T72" s="87"/>
      <c r="U72" s="87"/>
      <c r="V72" s="87"/>
      <c r="W72" s="87"/>
    </row>
    <row r="73" spans="1:23" x14ac:dyDescent="0.25">
      <c r="A73" s="23" t="s">
        <v>118</v>
      </c>
      <c r="B73" s="32">
        <v>41.8</v>
      </c>
      <c r="C73" s="22" t="s">
        <v>731</v>
      </c>
      <c r="D73" s="22">
        <f t="shared" si="4"/>
        <v>41.8</v>
      </c>
      <c r="E73" s="34">
        <v>6</v>
      </c>
      <c r="F73" s="23" t="s">
        <v>15</v>
      </c>
      <c r="G73" s="23" t="s">
        <v>220</v>
      </c>
      <c r="H73" s="23" t="s">
        <v>13</v>
      </c>
      <c r="I73" s="67" t="s">
        <v>135</v>
      </c>
      <c r="J73" s="65" t="s">
        <v>1162</v>
      </c>
      <c r="K73" s="21" t="s">
        <v>222</v>
      </c>
      <c r="L73" s="21" t="s">
        <v>818</v>
      </c>
      <c r="M73" s="21"/>
      <c r="N73" s="89"/>
      <c r="O73" s="89"/>
      <c r="P73" s="89"/>
      <c r="Q73" s="87"/>
      <c r="R73" s="87"/>
      <c r="S73" s="87"/>
      <c r="T73" s="87"/>
      <c r="U73" s="87"/>
      <c r="V73" s="87"/>
      <c r="W73" s="87"/>
    </row>
    <row r="74" spans="1:23" x14ac:dyDescent="0.25">
      <c r="A74" s="23" t="s">
        <v>118</v>
      </c>
      <c r="B74" s="32">
        <v>40.799999999999997</v>
      </c>
      <c r="C74" s="22" t="s">
        <v>731</v>
      </c>
      <c r="D74" s="22">
        <f t="shared" si="4"/>
        <v>40.799999999999997</v>
      </c>
      <c r="E74" s="34">
        <v>12</v>
      </c>
      <c r="F74" s="23" t="s">
        <v>12</v>
      </c>
      <c r="G74" s="23" t="s">
        <v>218</v>
      </c>
      <c r="H74" s="23" t="s">
        <v>13</v>
      </c>
      <c r="I74" s="67" t="s">
        <v>136</v>
      </c>
      <c r="J74" s="65" t="s">
        <v>1162</v>
      </c>
      <c r="K74" s="21" t="s">
        <v>222</v>
      </c>
      <c r="L74" s="21" t="s">
        <v>818</v>
      </c>
      <c r="M74" s="21"/>
      <c r="N74" s="89"/>
      <c r="O74" s="89"/>
      <c r="P74" s="89"/>
      <c r="Q74" s="87"/>
      <c r="R74" s="87"/>
      <c r="S74" s="87"/>
      <c r="T74" s="87"/>
      <c r="U74" s="87"/>
      <c r="V74" s="87"/>
      <c r="W74" s="87"/>
    </row>
    <row r="75" spans="1:23" x14ac:dyDescent="0.25">
      <c r="A75" s="23" t="s">
        <v>118</v>
      </c>
      <c r="B75" s="32">
        <v>70</v>
      </c>
      <c r="C75" s="32" t="s">
        <v>731</v>
      </c>
      <c r="D75" s="32">
        <f t="shared" si="4"/>
        <v>70</v>
      </c>
      <c r="E75" s="34">
        <v>10</v>
      </c>
      <c r="F75" s="23" t="s">
        <v>12</v>
      </c>
      <c r="G75" s="23" t="s">
        <v>220</v>
      </c>
      <c r="H75" s="23" t="s">
        <v>13</v>
      </c>
      <c r="I75" s="67" t="s">
        <v>137</v>
      </c>
      <c r="J75" s="65" t="s">
        <v>1162</v>
      </c>
      <c r="K75" s="21" t="s">
        <v>222</v>
      </c>
      <c r="L75" s="21" t="s">
        <v>818</v>
      </c>
      <c r="M75" s="21"/>
      <c r="N75" s="89"/>
      <c r="O75" s="89"/>
      <c r="P75" s="89"/>
      <c r="Q75" s="87"/>
      <c r="R75" s="87"/>
      <c r="S75" s="87"/>
      <c r="T75" s="87"/>
      <c r="U75" s="87"/>
      <c r="V75" s="87"/>
      <c r="W75" s="87"/>
    </row>
    <row r="76" spans="1:23" x14ac:dyDescent="0.25">
      <c r="A76" s="23" t="s">
        <v>118</v>
      </c>
      <c r="B76" s="32">
        <v>34</v>
      </c>
      <c r="C76" s="32" t="s">
        <v>731</v>
      </c>
      <c r="D76" s="32">
        <f t="shared" si="4"/>
        <v>34</v>
      </c>
      <c r="E76" s="34">
        <v>10</v>
      </c>
      <c r="F76" s="23" t="s">
        <v>12</v>
      </c>
      <c r="G76" s="23" t="s">
        <v>218</v>
      </c>
      <c r="H76" s="23" t="s">
        <v>13</v>
      </c>
      <c r="I76" s="67" t="s">
        <v>137</v>
      </c>
      <c r="J76" s="65" t="s">
        <v>1162</v>
      </c>
      <c r="K76" s="21" t="s">
        <v>222</v>
      </c>
      <c r="L76" s="21" t="s">
        <v>818</v>
      </c>
      <c r="M76" s="21"/>
      <c r="N76" s="89"/>
      <c r="O76" s="89"/>
      <c r="P76" s="89"/>
      <c r="Q76" s="87"/>
      <c r="R76" s="87"/>
      <c r="S76" s="87"/>
      <c r="T76" s="87"/>
      <c r="U76" s="87"/>
      <c r="V76" s="87"/>
      <c r="W76" s="87"/>
    </row>
    <row r="77" spans="1:23" x14ac:dyDescent="0.25">
      <c r="A77" s="23" t="s">
        <v>118</v>
      </c>
      <c r="B77" s="40">
        <v>45</v>
      </c>
      <c r="C77" s="22" t="s">
        <v>731</v>
      </c>
      <c r="D77" s="22">
        <f t="shared" si="4"/>
        <v>45</v>
      </c>
      <c r="E77" s="41">
        <v>1</v>
      </c>
      <c r="F77" s="23" t="s">
        <v>12</v>
      </c>
      <c r="G77" s="23" t="s">
        <v>218</v>
      </c>
      <c r="H77" s="23" t="s">
        <v>13</v>
      </c>
      <c r="I77" s="67" t="s">
        <v>726</v>
      </c>
      <c r="J77" s="65" t="s">
        <v>1162</v>
      </c>
      <c r="K77" s="21" t="s">
        <v>222</v>
      </c>
      <c r="L77" s="21" t="s">
        <v>818</v>
      </c>
      <c r="M77" s="21"/>
      <c r="N77" s="91"/>
      <c r="O77" s="91"/>
      <c r="P77" s="91"/>
      <c r="Q77" s="87"/>
      <c r="R77" s="87"/>
      <c r="S77" s="87"/>
      <c r="T77" s="87"/>
      <c r="U77" s="87"/>
      <c r="V77" s="87"/>
      <c r="W77" s="87"/>
    </row>
    <row r="78" spans="1:23" x14ac:dyDescent="0.25">
      <c r="A78" s="23" t="s">
        <v>118</v>
      </c>
      <c r="B78" s="32">
        <v>47</v>
      </c>
      <c r="C78" s="22" t="s">
        <v>731</v>
      </c>
      <c r="D78" s="22">
        <f t="shared" si="4"/>
        <v>47</v>
      </c>
      <c r="E78" s="34">
        <v>12</v>
      </c>
      <c r="F78" s="23" t="s">
        <v>12</v>
      </c>
      <c r="G78" s="23" t="s">
        <v>220</v>
      </c>
      <c r="H78" s="23" t="s">
        <v>13</v>
      </c>
      <c r="I78" s="67" t="s">
        <v>138</v>
      </c>
      <c r="J78" s="65" t="s">
        <v>1162</v>
      </c>
      <c r="K78" s="21" t="s">
        <v>222</v>
      </c>
      <c r="L78" s="21" t="s">
        <v>818</v>
      </c>
      <c r="M78" s="21"/>
      <c r="N78" s="89"/>
      <c r="O78" s="89"/>
      <c r="P78" s="89"/>
      <c r="Q78" s="87"/>
      <c r="R78" s="87"/>
      <c r="S78" s="87"/>
      <c r="T78" s="87"/>
      <c r="U78" s="87"/>
      <c r="V78" s="87"/>
      <c r="W78" s="87"/>
    </row>
    <row r="79" spans="1:23" x14ac:dyDescent="0.25">
      <c r="A79" s="23" t="s">
        <v>118</v>
      </c>
      <c r="B79" s="32">
        <v>34</v>
      </c>
      <c r="C79" s="22" t="s">
        <v>731</v>
      </c>
      <c r="D79" s="22">
        <f t="shared" si="4"/>
        <v>34</v>
      </c>
      <c r="E79" s="34">
        <v>12</v>
      </c>
      <c r="F79" s="23" t="s">
        <v>12</v>
      </c>
      <c r="G79" s="23" t="s">
        <v>218</v>
      </c>
      <c r="H79" s="23" t="s">
        <v>13</v>
      </c>
      <c r="I79" s="67" t="s">
        <v>138</v>
      </c>
      <c r="J79" s="65" t="s">
        <v>1162</v>
      </c>
      <c r="K79" s="21" t="s">
        <v>222</v>
      </c>
      <c r="L79" s="21" t="s">
        <v>818</v>
      </c>
      <c r="M79" s="21"/>
      <c r="N79" s="89"/>
      <c r="O79" s="89"/>
      <c r="P79" s="89"/>
      <c r="Q79" s="87"/>
      <c r="R79" s="87"/>
      <c r="S79" s="87"/>
      <c r="T79" s="87"/>
      <c r="U79" s="87"/>
      <c r="V79" s="87"/>
      <c r="W79" s="87"/>
    </row>
    <row r="80" spans="1:23" x14ac:dyDescent="0.25">
      <c r="A80" s="23" t="s">
        <v>118</v>
      </c>
      <c r="B80" s="37">
        <v>26.9</v>
      </c>
      <c r="C80" s="22" t="s">
        <v>731</v>
      </c>
      <c r="D80" s="32">
        <f t="shared" si="4"/>
        <v>26.9</v>
      </c>
      <c r="E80" s="34">
        <v>6</v>
      </c>
      <c r="F80" s="23" t="s">
        <v>15</v>
      </c>
      <c r="G80" s="23" t="s">
        <v>220</v>
      </c>
      <c r="H80" s="23" t="s">
        <v>13</v>
      </c>
      <c r="I80" s="67" t="s">
        <v>139</v>
      </c>
      <c r="J80" s="65" t="s">
        <v>1162</v>
      </c>
      <c r="K80" s="21" t="s">
        <v>222</v>
      </c>
      <c r="L80" s="21" t="s">
        <v>818</v>
      </c>
      <c r="M80" s="21"/>
      <c r="N80" s="90"/>
      <c r="O80" s="90"/>
      <c r="P80" s="90"/>
      <c r="Q80" s="87"/>
      <c r="R80" s="87"/>
      <c r="S80" s="87"/>
      <c r="T80" s="87"/>
      <c r="U80" s="87"/>
      <c r="V80" s="87"/>
      <c r="W80" s="87"/>
    </row>
    <row r="81" spans="1:23" x14ac:dyDescent="0.25">
      <c r="A81" s="23" t="s">
        <v>118</v>
      </c>
      <c r="B81" s="32">
        <v>43.5</v>
      </c>
      <c r="C81" s="22" t="s">
        <v>731</v>
      </c>
      <c r="D81" s="32">
        <f t="shared" si="4"/>
        <v>43.5</v>
      </c>
      <c r="E81" s="34">
        <v>9</v>
      </c>
      <c r="F81" s="23" t="s">
        <v>12</v>
      </c>
      <c r="G81" s="23" t="s">
        <v>218</v>
      </c>
      <c r="H81" s="23" t="s">
        <v>13</v>
      </c>
      <c r="I81" s="67" t="s">
        <v>140</v>
      </c>
      <c r="J81" s="65" t="s">
        <v>1162</v>
      </c>
      <c r="K81" s="21" t="s">
        <v>222</v>
      </c>
      <c r="L81" s="21" t="s">
        <v>818</v>
      </c>
      <c r="M81" s="21"/>
      <c r="N81" s="89"/>
      <c r="O81" s="89"/>
      <c r="P81" s="89"/>
      <c r="Q81" s="87"/>
      <c r="R81" s="87"/>
      <c r="S81" s="87"/>
      <c r="T81" s="87"/>
      <c r="U81" s="87"/>
      <c r="V81" s="87"/>
      <c r="W81" s="87"/>
    </row>
    <row r="82" spans="1:23" x14ac:dyDescent="0.25">
      <c r="A82" s="23" t="s">
        <v>118</v>
      </c>
      <c r="B82" s="32">
        <v>70</v>
      </c>
      <c r="C82" s="32" t="s">
        <v>731</v>
      </c>
      <c r="D82" s="32">
        <f t="shared" si="4"/>
        <v>70</v>
      </c>
      <c r="E82" s="34">
        <v>12</v>
      </c>
      <c r="F82" s="23" t="s">
        <v>12</v>
      </c>
      <c r="G82" s="23" t="s">
        <v>220</v>
      </c>
      <c r="H82" s="23" t="s">
        <v>13</v>
      </c>
      <c r="I82" s="67" t="s">
        <v>141</v>
      </c>
      <c r="J82" s="65" t="s">
        <v>1162</v>
      </c>
      <c r="K82" s="21" t="s">
        <v>222</v>
      </c>
      <c r="L82" s="21" t="s">
        <v>818</v>
      </c>
      <c r="M82" s="21"/>
      <c r="N82" s="89"/>
      <c r="O82" s="89"/>
      <c r="P82" s="89"/>
      <c r="Q82" s="87"/>
      <c r="R82" s="87"/>
      <c r="S82" s="87"/>
      <c r="T82" s="87"/>
      <c r="U82" s="87"/>
      <c r="V82" s="87"/>
      <c r="W82" s="87"/>
    </row>
    <row r="83" spans="1:23" x14ac:dyDescent="0.25">
      <c r="A83" s="23" t="s">
        <v>118</v>
      </c>
      <c r="B83" s="32">
        <v>33.200000000000003</v>
      </c>
      <c r="C83" s="22" t="s">
        <v>731</v>
      </c>
      <c r="D83" s="22">
        <f t="shared" si="4"/>
        <v>33.200000000000003</v>
      </c>
      <c r="E83" s="34">
        <v>12</v>
      </c>
      <c r="F83" s="23" t="s">
        <v>12</v>
      </c>
      <c r="G83" s="23" t="s">
        <v>218</v>
      </c>
      <c r="H83" s="23" t="s">
        <v>13</v>
      </c>
      <c r="I83" s="67" t="s">
        <v>142</v>
      </c>
      <c r="J83" s="65" t="s">
        <v>1162</v>
      </c>
      <c r="K83" s="21" t="s">
        <v>222</v>
      </c>
      <c r="L83" s="21" t="s">
        <v>818</v>
      </c>
      <c r="M83" s="21"/>
      <c r="N83" s="89"/>
      <c r="O83" s="89"/>
      <c r="P83" s="89"/>
      <c r="Q83" s="87"/>
      <c r="R83" s="87"/>
      <c r="S83" s="87"/>
      <c r="T83" s="87"/>
      <c r="U83" s="87"/>
      <c r="V83" s="87"/>
      <c r="W83" s="87"/>
    </row>
    <row r="84" spans="1:23" x14ac:dyDescent="0.25">
      <c r="A84" s="23" t="s">
        <v>118</v>
      </c>
      <c r="B84" s="32" t="s">
        <v>731</v>
      </c>
      <c r="C84" s="32">
        <v>5.2</v>
      </c>
      <c r="D84" s="32" t="s">
        <v>731</v>
      </c>
      <c r="E84" s="34">
        <v>16</v>
      </c>
      <c r="F84" s="23" t="s">
        <v>12</v>
      </c>
      <c r="G84" s="23" t="s">
        <v>220</v>
      </c>
      <c r="H84" s="23" t="s">
        <v>59</v>
      </c>
      <c r="I84" s="67" t="s">
        <v>143</v>
      </c>
      <c r="J84" s="65" t="s">
        <v>1162</v>
      </c>
      <c r="K84" s="21" t="s">
        <v>222</v>
      </c>
      <c r="L84" s="21" t="s">
        <v>818</v>
      </c>
      <c r="M84" s="21"/>
      <c r="N84" s="89"/>
      <c r="O84" s="89"/>
      <c r="P84" s="89"/>
      <c r="Q84" s="87"/>
      <c r="R84" s="87"/>
      <c r="S84" s="87"/>
      <c r="T84" s="87"/>
      <c r="U84" s="87"/>
      <c r="V84" s="87"/>
      <c r="W84" s="87"/>
    </row>
    <row r="85" spans="1:23" x14ac:dyDescent="0.25">
      <c r="A85" s="23" t="s">
        <v>118</v>
      </c>
      <c r="B85" s="32">
        <v>32.700000000000003</v>
      </c>
      <c r="C85" s="22" t="s">
        <v>731</v>
      </c>
      <c r="D85" s="22">
        <f t="shared" ref="D85:D116" si="5">SUM(B85:C85)</f>
        <v>32.700000000000003</v>
      </c>
      <c r="E85" s="34">
        <v>12</v>
      </c>
      <c r="F85" s="23" t="s">
        <v>12</v>
      </c>
      <c r="G85" s="23" t="s">
        <v>218</v>
      </c>
      <c r="H85" s="23" t="s">
        <v>13</v>
      </c>
      <c r="I85" s="67" t="s">
        <v>144</v>
      </c>
      <c r="J85" s="65" t="s">
        <v>1162</v>
      </c>
      <c r="K85" s="21" t="s">
        <v>222</v>
      </c>
      <c r="L85" s="21" t="s">
        <v>818</v>
      </c>
      <c r="M85" s="21"/>
      <c r="N85" s="89"/>
      <c r="O85" s="89"/>
      <c r="P85" s="89"/>
      <c r="Q85" s="87"/>
      <c r="R85" s="87"/>
      <c r="S85" s="87"/>
      <c r="T85" s="87"/>
      <c r="U85" s="87"/>
      <c r="V85" s="87"/>
      <c r="W85" s="87"/>
    </row>
    <row r="86" spans="1:23" x14ac:dyDescent="0.25">
      <c r="A86" s="23" t="s">
        <v>118</v>
      </c>
      <c r="B86" s="32">
        <v>17.2</v>
      </c>
      <c r="C86" s="22" t="s">
        <v>731</v>
      </c>
      <c r="D86" s="32">
        <f t="shared" si="5"/>
        <v>17.2</v>
      </c>
      <c r="E86" s="34">
        <v>8</v>
      </c>
      <c r="F86" s="23" t="s">
        <v>15</v>
      </c>
      <c r="G86" s="23" t="s">
        <v>218</v>
      </c>
      <c r="H86" s="23" t="s">
        <v>13</v>
      </c>
      <c r="I86" s="67" t="s">
        <v>145</v>
      </c>
      <c r="J86" s="65" t="s">
        <v>1162</v>
      </c>
      <c r="K86" s="21" t="s">
        <v>222</v>
      </c>
      <c r="L86" s="21" t="s">
        <v>818</v>
      </c>
      <c r="M86" s="21"/>
      <c r="N86" s="89"/>
      <c r="O86" s="89"/>
      <c r="P86" s="89"/>
      <c r="Q86" s="87"/>
      <c r="R86" s="87"/>
      <c r="S86" s="87"/>
      <c r="T86" s="87"/>
      <c r="U86" s="87"/>
      <c r="V86" s="87"/>
      <c r="W86" s="87"/>
    </row>
    <row r="87" spans="1:23" x14ac:dyDescent="0.25">
      <c r="A87" s="23" t="s">
        <v>118</v>
      </c>
      <c r="B87" s="32">
        <v>28.2</v>
      </c>
      <c r="C87" s="22" t="s">
        <v>731</v>
      </c>
      <c r="D87" s="32">
        <f t="shared" si="5"/>
        <v>28.2</v>
      </c>
      <c r="E87" s="34">
        <v>8</v>
      </c>
      <c r="F87" s="23" t="s">
        <v>15</v>
      </c>
      <c r="G87" s="23" t="s">
        <v>218</v>
      </c>
      <c r="H87" s="23" t="s">
        <v>13</v>
      </c>
      <c r="I87" s="67" t="s">
        <v>145</v>
      </c>
      <c r="J87" s="65" t="s">
        <v>1162</v>
      </c>
      <c r="K87" s="21" t="s">
        <v>222</v>
      </c>
      <c r="L87" s="21" t="s">
        <v>818</v>
      </c>
      <c r="M87" s="21"/>
      <c r="N87" s="89"/>
      <c r="O87" s="89"/>
      <c r="P87" s="89"/>
      <c r="Q87" s="87"/>
      <c r="R87" s="87"/>
      <c r="S87" s="87"/>
      <c r="T87" s="87"/>
      <c r="U87" s="87"/>
      <c r="V87" s="87"/>
      <c r="W87" s="87"/>
    </row>
    <row r="88" spans="1:23" x14ac:dyDescent="0.25">
      <c r="A88" s="23" t="s">
        <v>118</v>
      </c>
      <c r="B88" s="37">
        <v>46</v>
      </c>
      <c r="C88" s="22" t="s">
        <v>731</v>
      </c>
      <c r="D88" s="32">
        <f t="shared" si="5"/>
        <v>46</v>
      </c>
      <c r="E88" s="34">
        <v>8</v>
      </c>
      <c r="F88" s="23" t="s">
        <v>15</v>
      </c>
      <c r="G88" s="23" t="s">
        <v>220</v>
      </c>
      <c r="H88" s="23" t="s">
        <v>13</v>
      </c>
      <c r="I88" s="67" t="s">
        <v>146</v>
      </c>
      <c r="J88" s="65" t="s">
        <v>1162</v>
      </c>
      <c r="K88" s="21" t="s">
        <v>222</v>
      </c>
      <c r="L88" s="21" t="s">
        <v>818</v>
      </c>
      <c r="M88" s="21"/>
      <c r="N88" s="90"/>
      <c r="O88" s="90"/>
      <c r="P88" s="90"/>
      <c r="Q88" s="87"/>
      <c r="R88" s="87"/>
      <c r="S88" s="87"/>
      <c r="T88" s="87"/>
      <c r="U88" s="87"/>
      <c r="V88" s="87"/>
      <c r="W88" s="87"/>
    </row>
    <row r="89" spans="1:23" x14ac:dyDescent="0.25">
      <c r="A89" s="23" t="s">
        <v>118</v>
      </c>
      <c r="B89" s="22" t="s">
        <v>963</v>
      </c>
      <c r="C89" s="22" t="s">
        <v>731</v>
      </c>
      <c r="D89" s="22" t="s">
        <v>731</v>
      </c>
      <c r="E89" s="34">
        <v>10</v>
      </c>
      <c r="F89" s="23" t="s">
        <v>15</v>
      </c>
      <c r="G89" s="23" t="s">
        <v>220</v>
      </c>
      <c r="H89" s="23" t="s">
        <v>13</v>
      </c>
      <c r="I89" s="67" t="s">
        <v>147</v>
      </c>
      <c r="J89" s="65" t="s">
        <v>1162</v>
      </c>
      <c r="K89" s="21" t="s">
        <v>222</v>
      </c>
      <c r="L89" s="21" t="s">
        <v>818</v>
      </c>
      <c r="M89" s="21"/>
      <c r="N89" s="87"/>
      <c r="O89" s="87"/>
      <c r="P89" s="87"/>
      <c r="Q89" s="89">
        <v>0.4</v>
      </c>
      <c r="R89" s="89">
        <v>1.6</v>
      </c>
      <c r="S89" s="89">
        <v>1.4</v>
      </c>
      <c r="T89" s="87"/>
      <c r="U89" s="87"/>
      <c r="V89" s="87"/>
      <c r="W89" s="87"/>
    </row>
    <row r="90" spans="1:23" x14ac:dyDescent="0.25">
      <c r="A90" s="23" t="s">
        <v>118</v>
      </c>
      <c r="B90" s="32">
        <v>46.2</v>
      </c>
      <c r="C90" s="22" t="s">
        <v>731</v>
      </c>
      <c r="D90" s="22">
        <f t="shared" si="5"/>
        <v>46.2</v>
      </c>
      <c r="E90" s="34">
        <v>18</v>
      </c>
      <c r="F90" s="23" t="s">
        <v>12</v>
      </c>
      <c r="G90" s="23" t="s">
        <v>218</v>
      </c>
      <c r="H90" s="23" t="s">
        <v>13</v>
      </c>
      <c r="I90" s="67" t="s">
        <v>148</v>
      </c>
      <c r="J90" s="65" t="s">
        <v>1162</v>
      </c>
      <c r="K90" s="21" t="s">
        <v>222</v>
      </c>
      <c r="L90" s="21" t="s">
        <v>818</v>
      </c>
      <c r="M90" s="21"/>
      <c r="N90" s="89"/>
      <c r="O90" s="89"/>
      <c r="P90" s="89"/>
      <c r="Q90" s="87"/>
      <c r="R90" s="87"/>
      <c r="S90" s="87"/>
      <c r="T90" s="87"/>
      <c r="U90" s="87"/>
      <c r="V90" s="87"/>
      <c r="W90" s="87"/>
    </row>
    <row r="91" spans="1:23" x14ac:dyDescent="0.25">
      <c r="A91" s="23" t="s">
        <v>118</v>
      </c>
      <c r="B91" s="32">
        <v>61.2</v>
      </c>
      <c r="C91" s="22" t="s">
        <v>731</v>
      </c>
      <c r="D91" s="32">
        <f t="shared" si="5"/>
        <v>61.2</v>
      </c>
      <c r="E91" s="34">
        <v>12</v>
      </c>
      <c r="F91" s="23" t="s">
        <v>12</v>
      </c>
      <c r="G91" s="23" t="s">
        <v>220</v>
      </c>
      <c r="H91" s="23" t="s">
        <v>13</v>
      </c>
      <c r="I91" s="67" t="s">
        <v>149</v>
      </c>
      <c r="J91" s="65" t="s">
        <v>1162</v>
      </c>
      <c r="K91" s="21" t="s">
        <v>222</v>
      </c>
      <c r="L91" s="21" t="s">
        <v>818</v>
      </c>
      <c r="M91" s="21"/>
      <c r="N91" s="89"/>
      <c r="O91" s="89"/>
      <c r="P91" s="89"/>
      <c r="Q91" s="89">
        <v>2.4</v>
      </c>
      <c r="R91" s="87"/>
      <c r="S91" s="87"/>
      <c r="T91" s="87"/>
      <c r="U91" s="87"/>
      <c r="V91" s="87"/>
      <c r="W91" s="87"/>
    </row>
    <row r="92" spans="1:23" x14ac:dyDescent="0.25">
      <c r="A92" s="23" t="s">
        <v>118</v>
      </c>
      <c r="B92" s="32">
        <v>37.5</v>
      </c>
      <c r="C92" s="22" t="s">
        <v>731</v>
      </c>
      <c r="D92" s="32">
        <f t="shared" si="5"/>
        <v>37.5</v>
      </c>
      <c r="E92" s="34">
        <v>12</v>
      </c>
      <c r="F92" s="23" t="s">
        <v>12</v>
      </c>
      <c r="G92" s="23" t="s">
        <v>220</v>
      </c>
      <c r="H92" s="23" t="s">
        <v>13</v>
      </c>
      <c r="I92" s="67" t="s">
        <v>149</v>
      </c>
      <c r="J92" s="65" t="s">
        <v>1162</v>
      </c>
      <c r="K92" s="21" t="s">
        <v>222</v>
      </c>
      <c r="L92" s="21" t="s">
        <v>818</v>
      </c>
      <c r="M92" s="21"/>
      <c r="N92" s="89"/>
      <c r="O92" s="89"/>
      <c r="P92" s="89"/>
      <c r="Q92" s="89">
        <v>2.9</v>
      </c>
      <c r="R92" s="87"/>
      <c r="S92" s="87"/>
      <c r="T92" s="87"/>
      <c r="U92" s="87"/>
      <c r="V92" s="87"/>
      <c r="W92" s="87"/>
    </row>
    <row r="93" spans="1:23" x14ac:dyDescent="0.25">
      <c r="A93" s="23" t="s">
        <v>118</v>
      </c>
      <c r="B93" s="32">
        <v>60.9</v>
      </c>
      <c r="C93" s="22" t="s">
        <v>731</v>
      </c>
      <c r="D93" s="32">
        <f t="shared" si="5"/>
        <v>60.9</v>
      </c>
      <c r="E93" s="34">
        <v>8</v>
      </c>
      <c r="F93" s="23" t="s">
        <v>12</v>
      </c>
      <c r="G93" s="23" t="s">
        <v>220</v>
      </c>
      <c r="H93" s="23" t="s">
        <v>13</v>
      </c>
      <c r="I93" s="67" t="s">
        <v>150</v>
      </c>
      <c r="J93" s="65" t="s">
        <v>1162</v>
      </c>
      <c r="K93" s="21" t="s">
        <v>222</v>
      </c>
      <c r="L93" s="21" t="s">
        <v>818</v>
      </c>
      <c r="M93" s="21"/>
      <c r="N93" s="89"/>
      <c r="O93" s="89"/>
      <c r="P93" s="89"/>
      <c r="Q93" s="87"/>
      <c r="R93" s="87"/>
      <c r="S93" s="87"/>
      <c r="T93" s="87"/>
      <c r="U93" s="87"/>
      <c r="V93" s="87"/>
      <c r="W93" s="87"/>
    </row>
    <row r="94" spans="1:23" x14ac:dyDescent="0.25">
      <c r="A94" s="23" t="s">
        <v>118</v>
      </c>
      <c r="B94" s="32">
        <v>34.4</v>
      </c>
      <c r="C94" s="22" t="s">
        <v>731</v>
      </c>
      <c r="D94" s="22">
        <f t="shared" si="5"/>
        <v>34.4</v>
      </c>
      <c r="E94" s="34">
        <v>12</v>
      </c>
      <c r="F94" s="23" t="s">
        <v>12</v>
      </c>
      <c r="G94" s="23" t="s">
        <v>218</v>
      </c>
      <c r="H94" s="23" t="s">
        <v>13</v>
      </c>
      <c r="I94" s="67" t="s">
        <v>151</v>
      </c>
      <c r="J94" s="65" t="s">
        <v>1162</v>
      </c>
      <c r="K94" s="21" t="s">
        <v>222</v>
      </c>
      <c r="L94" s="21" t="s">
        <v>818</v>
      </c>
      <c r="M94" s="21"/>
      <c r="N94" s="89"/>
      <c r="O94" s="89"/>
      <c r="P94" s="89"/>
      <c r="Q94" s="87"/>
      <c r="R94" s="87"/>
      <c r="S94" s="87"/>
      <c r="T94" s="87"/>
      <c r="U94" s="87"/>
      <c r="V94" s="87"/>
      <c r="W94" s="87"/>
    </row>
    <row r="95" spans="1:23" x14ac:dyDescent="0.25">
      <c r="A95" s="23" t="s">
        <v>118</v>
      </c>
      <c r="B95" s="32">
        <v>30.9</v>
      </c>
      <c r="C95" s="22" t="s">
        <v>731</v>
      </c>
      <c r="D95" s="32">
        <f t="shared" si="5"/>
        <v>30.9</v>
      </c>
      <c r="E95" s="34">
        <v>8</v>
      </c>
      <c r="F95" s="23" t="s">
        <v>12</v>
      </c>
      <c r="G95" s="23" t="s">
        <v>218</v>
      </c>
      <c r="H95" s="23" t="s">
        <v>13</v>
      </c>
      <c r="I95" s="67" t="s">
        <v>152</v>
      </c>
      <c r="J95" s="65" t="s">
        <v>1162</v>
      </c>
      <c r="K95" s="21" t="s">
        <v>222</v>
      </c>
      <c r="L95" s="21" t="s">
        <v>818</v>
      </c>
      <c r="M95" s="21"/>
      <c r="N95" s="89"/>
      <c r="O95" s="89"/>
      <c r="P95" s="89"/>
      <c r="Q95" s="87"/>
      <c r="R95" s="87"/>
      <c r="S95" s="87"/>
      <c r="T95" s="87"/>
      <c r="U95" s="87"/>
      <c r="V95" s="87"/>
      <c r="W95" s="87"/>
    </row>
    <row r="96" spans="1:23" x14ac:dyDescent="0.25">
      <c r="A96" s="23" t="s">
        <v>118</v>
      </c>
      <c r="B96" s="32">
        <v>44</v>
      </c>
      <c r="C96" s="22" t="s">
        <v>731</v>
      </c>
      <c r="D96" s="22">
        <f t="shared" si="5"/>
        <v>44</v>
      </c>
      <c r="E96" s="34">
        <v>8</v>
      </c>
      <c r="F96" s="23" t="s">
        <v>12</v>
      </c>
      <c r="G96" s="23" t="s">
        <v>218</v>
      </c>
      <c r="H96" s="23" t="s">
        <v>13</v>
      </c>
      <c r="I96" s="67" t="s">
        <v>153</v>
      </c>
      <c r="J96" s="65" t="s">
        <v>1162</v>
      </c>
      <c r="K96" s="21" t="s">
        <v>222</v>
      </c>
      <c r="L96" s="21" t="s">
        <v>818</v>
      </c>
      <c r="M96" s="21"/>
      <c r="N96" s="89"/>
      <c r="O96" s="89"/>
      <c r="P96" s="89"/>
      <c r="Q96" s="87"/>
      <c r="R96" s="87"/>
      <c r="S96" s="87"/>
      <c r="T96" s="87"/>
      <c r="U96" s="87"/>
      <c r="V96" s="87"/>
      <c r="W96" s="87"/>
    </row>
    <row r="97" spans="1:23" x14ac:dyDescent="0.25">
      <c r="A97" s="23" t="s">
        <v>118</v>
      </c>
      <c r="B97" s="32">
        <v>50.1</v>
      </c>
      <c r="C97" s="22" t="s">
        <v>731</v>
      </c>
      <c r="D97" s="22">
        <f t="shared" si="5"/>
        <v>50.1</v>
      </c>
      <c r="E97" s="34">
        <v>18</v>
      </c>
      <c r="F97" s="23" t="s">
        <v>12</v>
      </c>
      <c r="G97" s="23" t="s">
        <v>220</v>
      </c>
      <c r="H97" s="23" t="s">
        <v>13</v>
      </c>
      <c r="I97" s="67" t="s">
        <v>154</v>
      </c>
      <c r="J97" s="67" t="s">
        <v>1040</v>
      </c>
      <c r="K97" s="21" t="s">
        <v>222</v>
      </c>
      <c r="L97" s="21" t="s">
        <v>818</v>
      </c>
      <c r="M97" s="21"/>
      <c r="N97" s="89"/>
      <c r="O97" s="89"/>
      <c r="P97" s="89"/>
      <c r="Q97" s="87"/>
      <c r="R97" s="87"/>
      <c r="S97" s="87"/>
      <c r="T97" s="87"/>
      <c r="U97" s="87"/>
      <c r="V97" s="87"/>
      <c r="W97" s="87"/>
    </row>
    <row r="98" spans="1:23" x14ac:dyDescent="0.25">
      <c r="A98" s="23" t="s">
        <v>118</v>
      </c>
      <c r="B98" s="32">
        <v>69.2</v>
      </c>
      <c r="C98" s="22" t="s">
        <v>731</v>
      </c>
      <c r="D98" s="22">
        <f t="shared" si="5"/>
        <v>69.2</v>
      </c>
      <c r="E98" s="34">
        <v>18</v>
      </c>
      <c r="F98" s="23" t="s">
        <v>12</v>
      </c>
      <c r="G98" s="23" t="s">
        <v>220</v>
      </c>
      <c r="H98" s="23" t="s">
        <v>13</v>
      </c>
      <c r="I98" s="67" t="s">
        <v>154</v>
      </c>
      <c r="J98" s="67" t="s">
        <v>1040</v>
      </c>
      <c r="K98" s="21" t="s">
        <v>222</v>
      </c>
      <c r="L98" s="21" t="s">
        <v>818</v>
      </c>
      <c r="M98" s="21"/>
      <c r="N98" s="89"/>
      <c r="O98" s="89"/>
      <c r="P98" s="89"/>
      <c r="Q98" s="87"/>
      <c r="R98" s="87"/>
      <c r="S98" s="87"/>
      <c r="T98" s="87"/>
      <c r="U98" s="87"/>
      <c r="V98" s="87"/>
      <c r="W98" s="87"/>
    </row>
    <row r="99" spans="1:23" x14ac:dyDescent="0.25">
      <c r="A99" s="23" t="s">
        <v>118</v>
      </c>
      <c r="B99" s="32">
        <v>37.799999999999997</v>
      </c>
      <c r="C99" s="22" t="s">
        <v>731</v>
      </c>
      <c r="D99" s="22">
        <f t="shared" si="5"/>
        <v>37.799999999999997</v>
      </c>
      <c r="E99" s="34">
        <v>18</v>
      </c>
      <c r="F99" s="23" t="s">
        <v>12</v>
      </c>
      <c r="G99" s="23" t="s">
        <v>218</v>
      </c>
      <c r="H99" s="23" t="s">
        <v>13</v>
      </c>
      <c r="I99" s="67" t="s">
        <v>154</v>
      </c>
      <c r="J99" s="67" t="s">
        <v>1040</v>
      </c>
      <c r="K99" s="21" t="s">
        <v>222</v>
      </c>
      <c r="L99" s="21" t="s">
        <v>818</v>
      </c>
      <c r="M99" s="21"/>
      <c r="N99" s="89"/>
      <c r="O99" s="89"/>
      <c r="P99" s="89"/>
      <c r="Q99" s="87"/>
      <c r="R99" s="87"/>
      <c r="S99" s="87"/>
      <c r="T99" s="87"/>
      <c r="U99" s="87"/>
      <c r="V99" s="87"/>
      <c r="W99" s="87"/>
    </row>
    <row r="100" spans="1:23" x14ac:dyDescent="0.25">
      <c r="A100" s="23" t="s">
        <v>118</v>
      </c>
      <c r="B100" s="32">
        <v>50.6</v>
      </c>
      <c r="C100" s="22" t="s">
        <v>731</v>
      </c>
      <c r="D100" s="22">
        <f t="shared" si="5"/>
        <v>50.6</v>
      </c>
      <c r="E100" s="34">
        <v>18</v>
      </c>
      <c r="F100" s="23" t="s">
        <v>12</v>
      </c>
      <c r="G100" s="23" t="s">
        <v>218</v>
      </c>
      <c r="H100" s="23" t="s">
        <v>13</v>
      </c>
      <c r="I100" s="67" t="s">
        <v>154</v>
      </c>
      <c r="J100" s="67" t="s">
        <v>1040</v>
      </c>
      <c r="K100" s="21" t="s">
        <v>222</v>
      </c>
      <c r="L100" s="21" t="s">
        <v>818</v>
      </c>
      <c r="M100" s="21"/>
      <c r="N100" s="89"/>
      <c r="O100" s="89"/>
      <c r="P100" s="89"/>
      <c r="Q100" s="87"/>
      <c r="R100" s="87"/>
      <c r="S100" s="87"/>
      <c r="T100" s="87"/>
      <c r="U100" s="87"/>
      <c r="V100" s="87"/>
      <c r="W100" s="87"/>
    </row>
    <row r="101" spans="1:23" x14ac:dyDescent="0.25">
      <c r="A101" s="23" t="s">
        <v>118</v>
      </c>
      <c r="B101" s="32">
        <v>47.4</v>
      </c>
      <c r="C101" s="22" t="s">
        <v>731</v>
      </c>
      <c r="D101" s="32">
        <f t="shared" si="5"/>
        <v>47.4</v>
      </c>
      <c r="E101" s="34">
        <v>8</v>
      </c>
      <c r="F101" s="23" t="s">
        <v>12</v>
      </c>
      <c r="G101" s="23" t="s">
        <v>218</v>
      </c>
      <c r="H101" s="23" t="s">
        <v>13</v>
      </c>
      <c r="I101" s="67" t="s">
        <v>155</v>
      </c>
      <c r="J101" s="65" t="s">
        <v>1162</v>
      </c>
      <c r="K101" s="21" t="s">
        <v>222</v>
      </c>
      <c r="L101" s="21" t="s">
        <v>818</v>
      </c>
      <c r="M101" s="21"/>
      <c r="N101" s="89"/>
      <c r="O101" s="89"/>
      <c r="P101" s="89"/>
      <c r="Q101" s="87"/>
      <c r="R101" s="87"/>
      <c r="S101" s="87"/>
      <c r="T101" s="87"/>
      <c r="U101" s="87"/>
      <c r="V101" s="87"/>
      <c r="W101" s="87"/>
    </row>
    <row r="102" spans="1:23" x14ac:dyDescent="0.25">
      <c r="A102" s="23" t="s">
        <v>118</v>
      </c>
      <c r="B102" s="42">
        <v>19.399999999999999</v>
      </c>
      <c r="C102" s="22" t="s">
        <v>731</v>
      </c>
      <c r="D102" s="32">
        <f t="shared" si="5"/>
        <v>19.399999999999999</v>
      </c>
      <c r="E102" s="34">
        <v>8</v>
      </c>
      <c r="F102" s="23" t="s">
        <v>12</v>
      </c>
      <c r="G102" s="23" t="s">
        <v>218</v>
      </c>
      <c r="H102" s="23" t="s">
        <v>13</v>
      </c>
      <c r="I102" s="67" t="s">
        <v>155</v>
      </c>
      <c r="J102" s="65" t="s">
        <v>1162</v>
      </c>
      <c r="K102" s="21" t="s">
        <v>222</v>
      </c>
      <c r="L102" s="21" t="s">
        <v>818</v>
      </c>
      <c r="M102" s="21"/>
      <c r="N102" s="92"/>
      <c r="O102" s="92"/>
      <c r="P102" s="92"/>
      <c r="Q102" s="87"/>
      <c r="R102" s="87"/>
      <c r="S102" s="87"/>
      <c r="T102" s="87"/>
      <c r="U102" s="87"/>
      <c r="V102" s="87"/>
      <c r="W102" s="87"/>
    </row>
    <row r="103" spans="1:23" x14ac:dyDescent="0.25">
      <c r="A103" s="23" t="s">
        <v>118</v>
      </c>
      <c r="B103" s="32">
        <v>53.7</v>
      </c>
      <c r="C103" s="32" t="s">
        <v>731</v>
      </c>
      <c r="D103" s="32">
        <f t="shared" si="5"/>
        <v>53.7</v>
      </c>
      <c r="E103" s="34">
        <v>6</v>
      </c>
      <c r="F103" s="23" t="s">
        <v>12</v>
      </c>
      <c r="G103" s="23" t="s">
        <v>220</v>
      </c>
      <c r="H103" s="23" t="s">
        <v>13</v>
      </c>
      <c r="I103" s="67" t="s">
        <v>156</v>
      </c>
      <c r="J103" s="65" t="s">
        <v>1162</v>
      </c>
      <c r="K103" s="21" t="s">
        <v>222</v>
      </c>
      <c r="L103" s="21" t="s">
        <v>818</v>
      </c>
      <c r="M103" s="21"/>
      <c r="N103" s="89"/>
      <c r="O103" s="89"/>
      <c r="P103" s="89"/>
      <c r="Q103" s="87"/>
      <c r="R103" s="87"/>
      <c r="S103" s="87"/>
      <c r="T103" s="87"/>
      <c r="U103" s="87"/>
      <c r="V103" s="87"/>
      <c r="W103" s="87"/>
    </row>
    <row r="104" spans="1:23" x14ac:dyDescent="0.25">
      <c r="A104" s="23" t="s">
        <v>118</v>
      </c>
      <c r="B104" s="32">
        <v>43.5</v>
      </c>
      <c r="C104" s="32" t="s">
        <v>731</v>
      </c>
      <c r="D104" s="32">
        <f t="shared" si="5"/>
        <v>43.5</v>
      </c>
      <c r="E104" s="34">
        <v>6</v>
      </c>
      <c r="F104" s="23" t="s">
        <v>12</v>
      </c>
      <c r="G104" s="23" t="s">
        <v>218</v>
      </c>
      <c r="H104" s="23" t="s">
        <v>13</v>
      </c>
      <c r="I104" s="67" t="s">
        <v>156</v>
      </c>
      <c r="J104" s="65" t="s">
        <v>1162</v>
      </c>
      <c r="K104" s="21" t="s">
        <v>222</v>
      </c>
      <c r="L104" s="21" t="s">
        <v>818</v>
      </c>
      <c r="M104" s="21"/>
      <c r="N104" s="89"/>
      <c r="O104" s="89"/>
      <c r="P104" s="89"/>
      <c r="Q104" s="87"/>
      <c r="R104" s="87"/>
      <c r="S104" s="87"/>
      <c r="T104" s="87"/>
      <c r="U104" s="87"/>
      <c r="V104" s="87"/>
      <c r="W104" s="87"/>
    </row>
    <row r="105" spans="1:23" x14ac:dyDescent="0.25">
      <c r="A105" s="23" t="s">
        <v>118</v>
      </c>
      <c r="B105" s="32">
        <v>68</v>
      </c>
      <c r="C105" s="32" t="s">
        <v>731</v>
      </c>
      <c r="D105" s="32">
        <f t="shared" si="5"/>
        <v>68</v>
      </c>
      <c r="E105" s="34">
        <v>28</v>
      </c>
      <c r="F105" s="23" t="s">
        <v>12</v>
      </c>
      <c r="G105" s="23" t="s">
        <v>220</v>
      </c>
      <c r="H105" s="23" t="s">
        <v>13</v>
      </c>
      <c r="I105" s="67" t="s">
        <v>157</v>
      </c>
      <c r="J105" s="65" t="s">
        <v>1162</v>
      </c>
      <c r="K105" s="21" t="s">
        <v>222</v>
      </c>
      <c r="L105" s="21" t="s">
        <v>818</v>
      </c>
      <c r="M105" s="21"/>
      <c r="N105" s="89"/>
      <c r="O105" s="89"/>
      <c r="P105" s="89"/>
      <c r="Q105" s="89">
        <v>0.8</v>
      </c>
      <c r="R105" s="87"/>
      <c r="S105" s="87"/>
      <c r="T105" s="87"/>
      <c r="U105" s="87"/>
      <c r="V105" s="87"/>
      <c r="W105" s="87"/>
    </row>
    <row r="106" spans="1:23" x14ac:dyDescent="0.25">
      <c r="A106" s="23" t="s">
        <v>118</v>
      </c>
      <c r="B106" s="32">
        <v>34.200000000000003</v>
      </c>
      <c r="C106" s="22" t="s">
        <v>731</v>
      </c>
      <c r="D106" s="32">
        <f t="shared" si="5"/>
        <v>34.200000000000003</v>
      </c>
      <c r="E106" s="34">
        <v>6</v>
      </c>
      <c r="F106" s="23" t="s">
        <v>12</v>
      </c>
      <c r="G106" s="23" t="s">
        <v>218</v>
      </c>
      <c r="H106" s="23" t="s">
        <v>13</v>
      </c>
      <c r="I106" s="67" t="s">
        <v>158</v>
      </c>
      <c r="J106" s="65" t="s">
        <v>1162</v>
      </c>
      <c r="K106" s="21" t="s">
        <v>222</v>
      </c>
      <c r="L106" s="21" t="s">
        <v>818</v>
      </c>
      <c r="M106" s="21"/>
      <c r="N106" s="89"/>
      <c r="O106" s="89"/>
      <c r="P106" s="89"/>
      <c r="Q106" s="87"/>
      <c r="R106" s="87"/>
      <c r="S106" s="87"/>
      <c r="T106" s="87"/>
      <c r="U106" s="87"/>
      <c r="V106" s="87"/>
      <c r="W106" s="87"/>
    </row>
    <row r="107" spans="1:23" x14ac:dyDescent="0.25">
      <c r="A107" s="23" t="s">
        <v>118</v>
      </c>
      <c r="B107" s="32">
        <v>34.6</v>
      </c>
      <c r="C107" s="22" t="s">
        <v>731</v>
      </c>
      <c r="D107" s="32">
        <f t="shared" si="5"/>
        <v>34.6</v>
      </c>
      <c r="E107" s="34">
        <v>13</v>
      </c>
      <c r="F107" s="23" t="s">
        <v>12</v>
      </c>
      <c r="G107" s="23" t="s">
        <v>218</v>
      </c>
      <c r="H107" s="23" t="s">
        <v>13</v>
      </c>
      <c r="I107" s="67" t="s">
        <v>159</v>
      </c>
      <c r="J107" s="65" t="s">
        <v>1162</v>
      </c>
      <c r="K107" s="21" t="s">
        <v>222</v>
      </c>
      <c r="L107" s="21" t="s">
        <v>818</v>
      </c>
      <c r="M107" s="21"/>
      <c r="N107" s="89"/>
      <c r="O107" s="89"/>
      <c r="P107" s="89"/>
      <c r="Q107" s="87"/>
      <c r="R107" s="87"/>
      <c r="S107" s="87"/>
      <c r="T107" s="87"/>
      <c r="U107" s="87"/>
      <c r="V107" s="87"/>
      <c r="W107" s="87"/>
    </row>
    <row r="108" spans="1:23" x14ac:dyDescent="0.25">
      <c r="A108" s="23" t="s">
        <v>118</v>
      </c>
      <c r="B108" s="32">
        <v>48.7</v>
      </c>
      <c r="C108" s="22" t="s">
        <v>731</v>
      </c>
      <c r="D108" s="22">
        <f t="shared" si="5"/>
        <v>48.7</v>
      </c>
      <c r="E108" s="34">
        <v>15</v>
      </c>
      <c r="F108" s="23" t="s">
        <v>12</v>
      </c>
      <c r="G108" s="23" t="s">
        <v>218</v>
      </c>
      <c r="H108" s="23" t="s">
        <v>13</v>
      </c>
      <c r="I108" s="67" t="s">
        <v>160</v>
      </c>
      <c r="J108" s="65" t="s">
        <v>1162</v>
      </c>
      <c r="K108" s="21" t="s">
        <v>222</v>
      </c>
      <c r="L108" s="21" t="s">
        <v>818</v>
      </c>
      <c r="M108" s="21"/>
      <c r="N108" s="89"/>
      <c r="O108" s="89"/>
      <c r="P108" s="89"/>
      <c r="Q108" s="87"/>
      <c r="R108" s="87"/>
      <c r="S108" s="87"/>
      <c r="T108" s="87"/>
      <c r="U108" s="87"/>
      <c r="V108" s="87"/>
      <c r="W108" s="87"/>
    </row>
    <row r="109" spans="1:23" x14ac:dyDescent="0.25">
      <c r="A109" s="23" t="s">
        <v>118</v>
      </c>
      <c r="B109" s="32">
        <v>59.8</v>
      </c>
      <c r="C109" s="22" t="s">
        <v>731</v>
      </c>
      <c r="D109" s="32">
        <f t="shared" si="5"/>
        <v>59.8</v>
      </c>
      <c r="E109" s="34">
        <v>12</v>
      </c>
      <c r="F109" s="23" t="s">
        <v>12</v>
      </c>
      <c r="G109" s="23" t="s">
        <v>220</v>
      </c>
      <c r="H109" s="23" t="s">
        <v>13</v>
      </c>
      <c r="I109" s="67" t="s">
        <v>161</v>
      </c>
      <c r="J109" s="65" t="s">
        <v>1162</v>
      </c>
      <c r="K109" s="21" t="s">
        <v>222</v>
      </c>
      <c r="L109" s="21" t="s">
        <v>818</v>
      </c>
      <c r="M109" s="21"/>
      <c r="N109" s="89"/>
      <c r="O109" s="89"/>
      <c r="P109" s="89"/>
      <c r="Q109" s="87"/>
      <c r="R109" s="87"/>
      <c r="S109" s="87"/>
      <c r="T109" s="87"/>
      <c r="U109" s="87"/>
      <c r="V109" s="87"/>
      <c r="W109" s="87"/>
    </row>
    <row r="110" spans="1:23" x14ac:dyDescent="0.25">
      <c r="A110" s="23" t="s">
        <v>118</v>
      </c>
      <c r="B110" s="32">
        <v>37.200000000000003</v>
      </c>
      <c r="C110" s="22" t="s">
        <v>731</v>
      </c>
      <c r="D110" s="32">
        <f t="shared" si="5"/>
        <v>37.200000000000003</v>
      </c>
      <c r="E110" s="34">
        <v>12</v>
      </c>
      <c r="F110" s="23" t="s">
        <v>12</v>
      </c>
      <c r="G110" s="23" t="s">
        <v>218</v>
      </c>
      <c r="H110" s="23" t="s">
        <v>13</v>
      </c>
      <c r="I110" s="67" t="s">
        <v>161</v>
      </c>
      <c r="J110" s="65" t="s">
        <v>1162</v>
      </c>
      <c r="K110" s="21" t="s">
        <v>222</v>
      </c>
      <c r="L110" s="21" t="s">
        <v>818</v>
      </c>
      <c r="M110" s="21"/>
      <c r="N110" s="89"/>
      <c r="O110" s="89"/>
      <c r="P110" s="89"/>
      <c r="Q110" s="87"/>
      <c r="R110" s="87"/>
      <c r="S110" s="87"/>
      <c r="T110" s="87"/>
      <c r="U110" s="87"/>
      <c r="V110" s="87"/>
      <c r="W110" s="87"/>
    </row>
    <row r="111" spans="1:23" x14ac:dyDescent="0.25">
      <c r="A111" s="23" t="s">
        <v>118</v>
      </c>
      <c r="B111" s="32">
        <v>31.3</v>
      </c>
      <c r="C111" s="22" t="s">
        <v>731</v>
      </c>
      <c r="D111" s="32">
        <f t="shared" si="5"/>
        <v>31.3</v>
      </c>
      <c r="E111" s="34">
        <v>12</v>
      </c>
      <c r="F111" s="23" t="s">
        <v>12</v>
      </c>
      <c r="G111" s="23" t="s">
        <v>218</v>
      </c>
      <c r="H111" s="23" t="s">
        <v>13</v>
      </c>
      <c r="I111" s="67" t="s">
        <v>162</v>
      </c>
      <c r="J111" s="65" t="s">
        <v>1162</v>
      </c>
      <c r="K111" s="21" t="s">
        <v>222</v>
      </c>
      <c r="L111" s="21" t="s">
        <v>818</v>
      </c>
      <c r="M111" s="21"/>
      <c r="N111" s="89"/>
      <c r="O111" s="89"/>
      <c r="P111" s="89"/>
      <c r="Q111" s="87"/>
      <c r="R111" s="87"/>
      <c r="S111" s="87"/>
      <c r="T111" s="87"/>
      <c r="U111" s="87"/>
      <c r="V111" s="87"/>
      <c r="W111" s="87"/>
    </row>
    <row r="112" spans="1:23" x14ac:dyDescent="0.25">
      <c r="A112" s="23" t="s">
        <v>118</v>
      </c>
      <c r="B112" s="42">
        <v>20.2</v>
      </c>
      <c r="C112" s="22" t="s">
        <v>731</v>
      </c>
      <c r="D112" s="32">
        <f t="shared" si="5"/>
        <v>20.2</v>
      </c>
      <c r="E112" s="34">
        <v>12</v>
      </c>
      <c r="F112" s="23" t="s">
        <v>12</v>
      </c>
      <c r="G112" s="23" t="s">
        <v>218</v>
      </c>
      <c r="H112" s="23" t="s">
        <v>13</v>
      </c>
      <c r="I112" s="67" t="s">
        <v>162</v>
      </c>
      <c r="J112" s="65" t="s">
        <v>1162</v>
      </c>
      <c r="K112" s="21" t="s">
        <v>222</v>
      </c>
      <c r="L112" s="21" t="s">
        <v>818</v>
      </c>
      <c r="M112" s="21"/>
      <c r="N112" s="92"/>
      <c r="O112" s="92"/>
      <c r="P112" s="92"/>
      <c r="Q112" s="87"/>
      <c r="R112" s="87"/>
      <c r="S112" s="87"/>
      <c r="T112" s="87"/>
      <c r="U112" s="87"/>
      <c r="V112" s="87"/>
      <c r="W112" s="87"/>
    </row>
    <row r="113" spans="1:23" x14ac:dyDescent="0.25">
      <c r="A113" s="23" t="s">
        <v>118</v>
      </c>
      <c r="B113" s="42">
        <v>4.7</v>
      </c>
      <c r="C113" s="22" t="s">
        <v>731</v>
      </c>
      <c r="D113" s="32">
        <f t="shared" si="5"/>
        <v>4.7</v>
      </c>
      <c r="E113" s="34">
        <v>12</v>
      </c>
      <c r="F113" s="23" t="s">
        <v>12</v>
      </c>
      <c r="G113" s="23" t="s">
        <v>218</v>
      </c>
      <c r="H113" s="23" t="s">
        <v>13</v>
      </c>
      <c r="I113" s="67" t="s">
        <v>162</v>
      </c>
      <c r="J113" s="65" t="s">
        <v>1162</v>
      </c>
      <c r="K113" s="21" t="s">
        <v>222</v>
      </c>
      <c r="L113" s="21" t="s">
        <v>818</v>
      </c>
      <c r="M113" s="21"/>
      <c r="N113" s="92"/>
      <c r="O113" s="92"/>
      <c r="P113" s="92"/>
      <c r="Q113" s="87"/>
      <c r="R113" s="87"/>
      <c r="S113" s="87"/>
      <c r="T113" s="87"/>
      <c r="U113" s="87"/>
      <c r="V113" s="87"/>
      <c r="W113" s="87"/>
    </row>
    <row r="114" spans="1:23" x14ac:dyDescent="0.25">
      <c r="A114" s="23" t="s">
        <v>118</v>
      </c>
      <c r="B114" s="32">
        <v>45</v>
      </c>
      <c r="C114" s="22">
        <v>25</v>
      </c>
      <c r="D114" s="32">
        <f t="shared" si="5"/>
        <v>70</v>
      </c>
      <c r="E114" s="25">
        <v>1</v>
      </c>
      <c r="F114" s="23" t="s">
        <v>15</v>
      </c>
      <c r="G114" s="23" t="s">
        <v>218</v>
      </c>
      <c r="H114" s="23" t="s">
        <v>725</v>
      </c>
      <c r="I114" s="67" t="s">
        <v>163</v>
      </c>
      <c r="J114" s="65" t="s">
        <v>1162</v>
      </c>
      <c r="K114" s="21" t="s">
        <v>222</v>
      </c>
      <c r="L114" s="21" t="s">
        <v>818</v>
      </c>
      <c r="M114" s="21"/>
      <c r="N114" s="89"/>
      <c r="O114" s="89"/>
      <c r="P114" s="89"/>
      <c r="Q114" s="89">
        <f>1.5+0.5</f>
        <v>2</v>
      </c>
      <c r="R114" s="89">
        <f>4+6</f>
        <v>10</v>
      </c>
      <c r="S114" s="89">
        <f>6+1</f>
        <v>7</v>
      </c>
      <c r="T114" s="87"/>
      <c r="U114" s="87"/>
      <c r="V114" s="87"/>
      <c r="W114" s="87"/>
    </row>
    <row r="115" spans="1:23" x14ac:dyDescent="0.25">
      <c r="A115" s="23" t="s">
        <v>118</v>
      </c>
      <c r="B115" s="32">
        <v>25.1</v>
      </c>
      <c r="C115" s="22" t="s">
        <v>731</v>
      </c>
      <c r="D115" s="22">
        <f t="shared" si="5"/>
        <v>25.1</v>
      </c>
      <c r="E115" s="34">
        <v>16</v>
      </c>
      <c r="F115" s="23" t="s">
        <v>12</v>
      </c>
      <c r="G115" s="23" t="s">
        <v>218</v>
      </c>
      <c r="H115" s="23" t="s">
        <v>13</v>
      </c>
      <c r="I115" s="67" t="s">
        <v>164</v>
      </c>
      <c r="J115" s="65" t="s">
        <v>1162</v>
      </c>
      <c r="K115" s="21" t="s">
        <v>222</v>
      </c>
      <c r="L115" s="21" t="s">
        <v>818</v>
      </c>
      <c r="M115" s="21"/>
      <c r="N115" s="89"/>
      <c r="O115" s="89"/>
      <c r="P115" s="89"/>
      <c r="Q115" s="87"/>
      <c r="R115" s="87"/>
      <c r="S115" s="87"/>
      <c r="T115" s="87"/>
      <c r="U115" s="87"/>
      <c r="V115" s="87"/>
      <c r="W115" s="87"/>
    </row>
    <row r="116" spans="1:23" x14ac:dyDescent="0.25">
      <c r="A116" s="23" t="s">
        <v>118</v>
      </c>
      <c r="B116" s="32">
        <v>42.1</v>
      </c>
      <c r="C116" s="32" t="s">
        <v>731</v>
      </c>
      <c r="D116" s="32">
        <f t="shared" si="5"/>
        <v>42.1</v>
      </c>
      <c r="E116" s="34">
        <v>5</v>
      </c>
      <c r="F116" s="23" t="s">
        <v>12</v>
      </c>
      <c r="G116" s="23" t="s">
        <v>220</v>
      </c>
      <c r="H116" s="23" t="s">
        <v>13</v>
      </c>
      <c r="I116" s="67" t="s">
        <v>165</v>
      </c>
      <c r="J116" s="67" t="s">
        <v>1041</v>
      </c>
      <c r="K116" s="21" t="s">
        <v>222</v>
      </c>
      <c r="L116" s="21" t="s">
        <v>818</v>
      </c>
      <c r="M116" s="21"/>
      <c r="N116" s="89"/>
      <c r="O116" s="89"/>
      <c r="P116" s="89"/>
      <c r="Q116" s="87"/>
      <c r="R116" s="87"/>
      <c r="S116" s="87"/>
      <c r="T116" s="87"/>
      <c r="U116" s="87"/>
      <c r="V116" s="87"/>
      <c r="W116" s="87"/>
    </row>
    <row r="117" spans="1:23" x14ac:dyDescent="0.25">
      <c r="A117" s="23" t="s">
        <v>118</v>
      </c>
      <c r="B117" s="32">
        <v>62.8</v>
      </c>
      <c r="C117" s="32" t="s">
        <v>731</v>
      </c>
      <c r="D117" s="32">
        <f t="shared" ref="D117:D148" si="6">SUM(B117:C117)</f>
        <v>62.8</v>
      </c>
      <c r="E117" s="34">
        <v>14</v>
      </c>
      <c r="F117" s="23" t="s">
        <v>15</v>
      </c>
      <c r="G117" s="23" t="s">
        <v>220</v>
      </c>
      <c r="H117" s="23" t="s">
        <v>13</v>
      </c>
      <c r="I117" s="67" t="s">
        <v>165</v>
      </c>
      <c r="J117" s="67" t="s">
        <v>1041</v>
      </c>
      <c r="K117" s="21" t="s">
        <v>222</v>
      </c>
      <c r="L117" s="21" t="s">
        <v>818</v>
      </c>
      <c r="M117" s="21"/>
      <c r="N117" s="89"/>
      <c r="O117" s="89"/>
      <c r="P117" s="89"/>
      <c r="Q117" s="87"/>
      <c r="R117" s="87"/>
      <c r="S117" s="87"/>
      <c r="T117" s="87"/>
      <c r="U117" s="87"/>
      <c r="V117" s="87"/>
      <c r="W117" s="87"/>
    </row>
    <row r="118" spans="1:23" x14ac:dyDescent="0.25">
      <c r="A118" s="23" t="s">
        <v>118</v>
      </c>
      <c r="B118" s="32">
        <v>23.2</v>
      </c>
      <c r="C118" s="32">
        <f>(100-57)</f>
        <v>43</v>
      </c>
      <c r="D118" s="32">
        <f t="shared" si="6"/>
        <v>66.2</v>
      </c>
      <c r="E118" s="34">
        <v>5</v>
      </c>
      <c r="F118" s="23" t="s">
        <v>12</v>
      </c>
      <c r="G118" s="23" t="s">
        <v>218</v>
      </c>
      <c r="H118" s="23" t="s">
        <v>13</v>
      </c>
      <c r="I118" s="67" t="s">
        <v>165</v>
      </c>
      <c r="J118" s="67" t="s">
        <v>1041</v>
      </c>
      <c r="K118" s="21" t="s">
        <v>222</v>
      </c>
      <c r="L118" s="21" t="s">
        <v>818</v>
      </c>
      <c r="M118" s="21" t="s">
        <v>1042</v>
      </c>
      <c r="N118" s="89"/>
      <c r="O118" s="89"/>
      <c r="P118" s="89"/>
      <c r="Q118" s="87"/>
      <c r="R118" s="87"/>
      <c r="S118" s="87"/>
      <c r="T118" s="87"/>
      <c r="U118" s="87"/>
      <c r="V118" s="87"/>
      <c r="W118" s="87"/>
    </row>
    <row r="119" spans="1:23" x14ac:dyDescent="0.25">
      <c r="A119" s="23" t="s">
        <v>118</v>
      </c>
      <c r="B119" s="32">
        <v>30.5</v>
      </c>
      <c r="C119" s="32">
        <f>100-80</f>
        <v>20</v>
      </c>
      <c r="D119" s="32">
        <f t="shared" si="6"/>
        <v>50.5</v>
      </c>
      <c r="E119" s="34">
        <v>13</v>
      </c>
      <c r="F119" s="23" t="s">
        <v>15</v>
      </c>
      <c r="G119" s="23" t="s">
        <v>218</v>
      </c>
      <c r="H119" s="23" t="s">
        <v>13</v>
      </c>
      <c r="I119" s="67" t="s">
        <v>165</v>
      </c>
      <c r="J119" s="67" t="s">
        <v>1041</v>
      </c>
      <c r="K119" s="21" t="s">
        <v>222</v>
      </c>
      <c r="L119" s="21" t="s">
        <v>818</v>
      </c>
      <c r="M119" s="21" t="s">
        <v>1043</v>
      </c>
      <c r="N119" s="89"/>
      <c r="O119" s="89"/>
      <c r="P119" s="89"/>
      <c r="Q119" s="87"/>
      <c r="R119" s="87"/>
      <c r="S119" s="87"/>
      <c r="T119" s="87"/>
      <c r="U119" s="87"/>
      <c r="V119" s="87"/>
      <c r="W119" s="87"/>
    </row>
    <row r="120" spans="1:23" x14ac:dyDescent="0.25">
      <c r="A120" s="23" t="s">
        <v>118</v>
      </c>
      <c r="B120" s="32">
        <v>65</v>
      </c>
      <c r="C120" s="32" t="s">
        <v>731</v>
      </c>
      <c r="D120" s="32">
        <f t="shared" si="6"/>
        <v>65</v>
      </c>
      <c r="E120" s="34">
        <v>11</v>
      </c>
      <c r="F120" s="23" t="s">
        <v>15</v>
      </c>
      <c r="G120" s="23" t="s">
        <v>220</v>
      </c>
      <c r="H120" s="23" t="s">
        <v>13</v>
      </c>
      <c r="I120" s="67" t="s">
        <v>165</v>
      </c>
      <c r="J120" s="67" t="s">
        <v>1041</v>
      </c>
      <c r="K120" s="21" t="s">
        <v>222</v>
      </c>
      <c r="L120" s="21" t="s">
        <v>818</v>
      </c>
      <c r="M120" s="21"/>
      <c r="N120" s="89"/>
      <c r="O120" s="89"/>
      <c r="P120" s="89"/>
      <c r="Q120" s="87"/>
      <c r="R120" s="87"/>
      <c r="S120" s="87"/>
      <c r="T120" s="87"/>
      <c r="U120" s="87"/>
      <c r="V120" s="87"/>
      <c r="W120" s="87"/>
    </row>
    <row r="121" spans="1:23" x14ac:dyDescent="0.25">
      <c r="A121" s="23" t="s">
        <v>118</v>
      </c>
      <c r="B121" s="32">
        <v>35</v>
      </c>
      <c r="C121" s="32" t="s">
        <v>731</v>
      </c>
      <c r="D121" s="32">
        <f t="shared" si="6"/>
        <v>35</v>
      </c>
      <c r="E121" s="34">
        <v>13</v>
      </c>
      <c r="F121" s="23" t="s">
        <v>15</v>
      </c>
      <c r="G121" s="23" t="s">
        <v>218</v>
      </c>
      <c r="H121" s="23" t="s">
        <v>13</v>
      </c>
      <c r="I121" s="67" t="s">
        <v>165</v>
      </c>
      <c r="J121" s="67" t="s">
        <v>1041</v>
      </c>
      <c r="K121" s="21" t="s">
        <v>222</v>
      </c>
      <c r="L121" s="21" t="s">
        <v>818</v>
      </c>
      <c r="M121" s="21"/>
      <c r="N121" s="89"/>
      <c r="O121" s="89"/>
      <c r="P121" s="89"/>
      <c r="Q121" s="87"/>
      <c r="R121" s="87"/>
      <c r="S121" s="87"/>
      <c r="T121" s="87"/>
      <c r="U121" s="87"/>
      <c r="V121" s="87"/>
      <c r="W121" s="87"/>
    </row>
    <row r="122" spans="1:23" x14ac:dyDescent="0.25">
      <c r="A122" s="23" t="s">
        <v>118</v>
      </c>
      <c r="B122" s="32">
        <v>54.4</v>
      </c>
      <c r="C122" s="22" t="s">
        <v>731</v>
      </c>
      <c r="D122" s="22">
        <f t="shared" si="6"/>
        <v>54.4</v>
      </c>
      <c r="E122" s="34">
        <v>7</v>
      </c>
      <c r="F122" s="23" t="s">
        <v>12</v>
      </c>
      <c r="G122" s="23" t="s">
        <v>218</v>
      </c>
      <c r="H122" s="23" t="s">
        <v>13</v>
      </c>
      <c r="I122" s="67" t="s">
        <v>166</v>
      </c>
      <c r="J122" s="65" t="s">
        <v>1162</v>
      </c>
      <c r="K122" s="21" t="s">
        <v>222</v>
      </c>
      <c r="L122" s="21" t="s">
        <v>818</v>
      </c>
      <c r="M122" s="21"/>
      <c r="N122" s="89"/>
      <c r="O122" s="89"/>
      <c r="P122" s="89"/>
      <c r="Q122" s="87"/>
      <c r="R122" s="87"/>
      <c r="S122" s="87"/>
      <c r="T122" s="87"/>
      <c r="U122" s="87"/>
      <c r="V122" s="87"/>
      <c r="W122" s="87"/>
    </row>
    <row r="123" spans="1:23" x14ac:dyDescent="0.25">
      <c r="A123" s="23" t="s">
        <v>118</v>
      </c>
      <c r="B123" s="32">
        <v>37.9</v>
      </c>
      <c r="C123" s="22" t="s">
        <v>731</v>
      </c>
      <c r="D123" s="22">
        <f t="shared" si="6"/>
        <v>37.9</v>
      </c>
      <c r="E123" s="34">
        <v>7</v>
      </c>
      <c r="F123" s="23" t="s">
        <v>12</v>
      </c>
      <c r="G123" s="23" t="s">
        <v>218</v>
      </c>
      <c r="H123" s="23" t="s">
        <v>13</v>
      </c>
      <c r="I123" s="67" t="s">
        <v>166</v>
      </c>
      <c r="J123" s="65" t="s">
        <v>1162</v>
      </c>
      <c r="K123" s="21" t="s">
        <v>222</v>
      </c>
      <c r="L123" s="21" t="s">
        <v>818</v>
      </c>
      <c r="M123" s="21"/>
      <c r="N123" s="89"/>
      <c r="O123" s="89"/>
      <c r="P123" s="89"/>
      <c r="Q123" s="87"/>
      <c r="R123" s="87"/>
      <c r="S123" s="87"/>
      <c r="T123" s="87"/>
      <c r="U123" s="87"/>
      <c r="V123" s="87"/>
      <c r="W123" s="87"/>
    </row>
    <row r="124" spans="1:23" x14ac:dyDescent="0.25">
      <c r="A124" s="23" t="s">
        <v>118</v>
      </c>
      <c r="B124" s="32">
        <v>25</v>
      </c>
      <c r="C124" s="22" t="s">
        <v>731</v>
      </c>
      <c r="D124" s="32">
        <f t="shared" si="6"/>
        <v>25</v>
      </c>
      <c r="E124" s="34">
        <v>37</v>
      </c>
      <c r="F124" s="23" t="s">
        <v>15</v>
      </c>
      <c r="G124" s="23" t="s">
        <v>218</v>
      </c>
      <c r="H124" s="23" t="s">
        <v>13</v>
      </c>
      <c r="I124" s="67" t="s">
        <v>167</v>
      </c>
      <c r="J124" s="65" t="s">
        <v>1162</v>
      </c>
      <c r="K124" s="21" t="s">
        <v>222</v>
      </c>
      <c r="L124" s="21" t="s">
        <v>818</v>
      </c>
      <c r="M124" s="21"/>
      <c r="N124" s="89"/>
      <c r="O124" s="89"/>
      <c r="P124" s="89"/>
      <c r="Q124" s="87"/>
      <c r="R124" s="87"/>
      <c r="S124" s="87"/>
      <c r="T124" s="87"/>
      <c r="U124" s="87"/>
      <c r="V124" s="87"/>
      <c r="W124" s="87"/>
    </row>
    <row r="125" spans="1:23" x14ac:dyDescent="0.25">
      <c r="A125" s="23" t="s">
        <v>118</v>
      </c>
      <c r="B125" s="32">
        <v>14.8</v>
      </c>
      <c r="C125" s="22" t="s">
        <v>731</v>
      </c>
      <c r="D125" s="22">
        <f t="shared" si="6"/>
        <v>14.8</v>
      </c>
      <c r="E125" s="34">
        <v>3</v>
      </c>
      <c r="F125" s="23" t="s">
        <v>36</v>
      </c>
      <c r="G125" s="23" t="s">
        <v>218</v>
      </c>
      <c r="H125" s="23" t="s">
        <v>13</v>
      </c>
      <c r="I125" s="67" t="s">
        <v>168</v>
      </c>
      <c r="J125" s="65" t="s">
        <v>1162</v>
      </c>
      <c r="K125" s="21" t="s">
        <v>222</v>
      </c>
      <c r="L125" s="21" t="s">
        <v>818</v>
      </c>
      <c r="M125" s="21"/>
      <c r="N125" s="89"/>
      <c r="O125" s="89"/>
      <c r="P125" s="89"/>
      <c r="Q125" s="87"/>
      <c r="R125" s="87"/>
      <c r="S125" s="87"/>
      <c r="T125" s="87"/>
      <c r="U125" s="87"/>
      <c r="V125" s="87"/>
      <c r="W125" s="87"/>
    </row>
    <row r="126" spans="1:23" x14ac:dyDescent="0.25">
      <c r="A126" s="23" t="s">
        <v>118</v>
      </c>
      <c r="B126" s="32">
        <v>37.6</v>
      </c>
      <c r="C126" s="22" t="s">
        <v>731</v>
      </c>
      <c r="D126" s="22">
        <f t="shared" si="6"/>
        <v>37.6</v>
      </c>
      <c r="E126" s="34">
        <v>8</v>
      </c>
      <c r="F126" s="23" t="s">
        <v>15</v>
      </c>
      <c r="G126" s="23" t="s">
        <v>218</v>
      </c>
      <c r="H126" s="23" t="s">
        <v>13</v>
      </c>
      <c r="I126" s="67" t="s">
        <v>168</v>
      </c>
      <c r="J126" s="65" t="s">
        <v>1162</v>
      </c>
      <c r="K126" s="21" t="s">
        <v>222</v>
      </c>
      <c r="L126" s="21" t="s">
        <v>818</v>
      </c>
      <c r="M126" s="21"/>
      <c r="N126" s="89"/>
      <c r="O126" s="93"/>
      <c r="P126" s="93"/>
      <c r="Q126" s="93"/>
      <c r="R126" s="93"/>
      <c r="S126" s="93"/>
      <c r="T126" s="93"/>
      <c r="U126" s="93"/>
      <c r="V126" s="93"/>
      <c r="W126" s="87"/>
    </row>
    <row r="127" spans="1:23" x14ac:dyDescent="0.25">
      <c r="A127" s="23" t="s">
        <v>118</v>
      </c>
      <c r="B127" s="32">
        <v>37</v>
      </c>
      <c r="C127" s="32" t="s">
        <v>731</v>
      </c>
      <c r="D127" s="32">
        <f t="shared" si="6"/>
        <v>37</v>
      </c>
      <c r="E127" s="34">
        <v>8</v>
      </c>
      <c r="F127" s="23" t="s">
        <v>12</v>
      </c>
      <c r="G127" s="23" t="s">
        <v>218</v>
      </c>
      <c r="H127" s="23" t="s">
        <v>13</v>
      </c>
      <c r="I127" s="67" t="s">
        <v>169</v>
      </c>
      <c r="J127" s="65" t="s">
        <v>1162</v>
      </c>
      <c r="K127" s="21" t="s">
        <v>222</v>
      </c>
      <c r="L127" s="21" t="s">
        <v>818</v>
      </c>
      <c r="M127" s="21"/>
      <c r="N127" s="89"/>
      <c r="O127" s="89"/>
      <c r="P127" s="93"/>
      <c r="Q127" s="87"/>
      <c r="R127" s="87"/>
      <c r="S127" s="94"/>
      <c r="T127" s="87"/>
      <c r="U127" s="94"/>
      <c r="V127" s="87"/>
      <c r="W127" s="87"/>
    </row>
    <row r="128" spans="1:23" x14ac:dyDescent="0.25">
      <c r="A128" s="23" t="s">
        <v>118</v>
      </c>
      <c r="B128" s="42">
        <v>9.6</v>
      </c>
      <c r="C128" s="32" t="s">
        <v>731</v>
      </c>
      <c r="D128" s="32">
        <f t="shared" si="6"/>
        <v>9.6</v>
      </c>
      <c r="E128" s="34">
        <v>8</v>
      </c>
      <c r="F128" s="23" t="s">
        <v>12</v>
      </c>
      <c r="G128" s="23" t="s">
        <v>218</v>
      </c>
      <c r="H128" s="23" t="s">
        <v>13</v>
      </c>
      <c r="I128" s="67" t="s">
        <v>169</v>
      </c>
      <c r="J128" s="65" t="s">
        <v>1162</v>
      </c>
      <c r="K128" s="21" t="s">
        <v>222</v>
      </c>
      <c r="L128" s="21" t="s">
        <v>818</v>
      </c>
      <c r="M128" s="21"/>
      <c r="N128" s="92"/>
      <c r="O128" s="92"/>
      <c r="P128" s="92"/>
      <c r="Q128" s="87"/>
      <c r="R128" s="87"/>
      <c r="S128" s="87"/>
      <c r="T128" s="87"/>
      <c r="U128" s="87"/>
      <c r="V128" s="87"/>
      <c r="W128" s="87"/>
    </row>
    <row r="129" spans="1:23" x14ac:dyDescent="0.25">
      <c r="A129" s="23" t="s">
        <v>118</v>
      </c>
      <c r="B129" s="32">
        <v>25.5</v>
      </c>
      <c r="C129" s="22" t="s">
        <v>731</v>
      </c>
      <c r="D129" s="32">
        <f t="shared" si="6"/>
        <v>25.5</v>
      </c>
      <c r="E129" s="34">
        <v>4</v>
      </c>
      <c r="F129" s="23" t="s">
        <v>12</v>
      </c>
      <c r="G129" s="23" t="s">
        <v>218</v>
      </c>
      <c r="H129" s="23" t="s">
        <v>13</v>
      </c>
      <c r="I129" s="67" t="s">
        <v>170</v>
      </c>
      <c r="J129" s="67" t="s">
        <v>1054</v>
      </c>
      <c r="K129" s="21" t="s">
        <v>222</v>
      </c>
      <c r="L129" s="21" t="s">
        <v>818</v>
      </c>
      <c r="M129" s="21" t="s">
        <v>1044</v>
      </c>
      <c r="N129" s="89"/>
      <c r="O129" s="89"/>
      <c r="P129" s="89"/>
      <c r="Q129" s="89">
        <v>0.6</v>
      </c>
      <c r="R129" s="89">
        <v>1.7</v>
      </c>
      <c r="S129" s="89">
        <v>3.3</v>
      </c>
      <c r="T129" s="87"/>
      <c r="U129" s="87"/>
      <c r="V129" s="87"/>
      <c r="W129" s="87"/>
    </row>
    <row r="130" spans="1:23" x14ac:dyDescent="0.25">
      <c r="A130" s="23" t="s">
        <v>118</v>
      </c>
      <c r="B130" s="32">
        <v>29.6</v>
      </c>
      <c r="C130" s="22" t="s">
        <v>731</v>
      </c>
      <c r="D130" s="32">
        <f t="shared" si="6"/>
        <v>29.6</v>
      </c>
      <c r="E130" s="34">
        <v>4</v>
      </c>
      <c r="F130" s="23" t="s">
        <v>12</v>
      </c>
      <c r="G130" s="23" t="s">
        <v>218</v>
      </c>
      <c r="H130" s="23" t="s">
        <v>13</v>
      </c>
      <c r="I130" s="67" t="s">
        <v>170</v>
      </c>
      <c r="J130" s="67" t="s">
        <v>1054</v>
      </c>
      <c r="K130" s="21" t="s">
        <v>222</v>
      </c>
      <c r="L130" s="21" t="s">
        <v>818</v>
      </c>
      <c r="M130" s="21" t="s">
        <v>1045</v>
      </c>
      <c r="N130" s="89"/>
      <c r="O130" s="89"/>
      <c r="P130" s="89"/>
      <c r="Q130" s="89">
        <v>0.9</v>
      </c>
      <c r="R130" s="89">
        <v>3.2</v>
      </c>
      <c r="S130" s="89">
        <v>6.3</v>
      </c>
      <c r="T130" s="87"/>
      <c r="U130" s="87"/>
      <c r="V130" s="87"/>
      <c r="W130" s="87"/>
    </row>
    <row r="131" spans="1:23" x14ac:dyDescent="0.25">
      <c r="A131" s="43" t="s">
        <v>118</v>
      </c>
      <c r="B131" s="44">
        <v>6.5</v>
      </c>
      <c r="C131" s="27">
        <v>70</v>
      </c>
      <c r="D131" s="44">
        <f t="shared" si="6"/>
        <v>76.5</v>
      </c>
      <c r="E131" s="41">
        <v>4</v>
      </c>
      <c r="F131" s="43" t="s">
        <v>12</v>
      </c>
      <c r="G131" s="43" t="s">
        <v>1046</v>
      </c>
      <c r="H131" s="43" t="s">
        <v>13</v>
      </c>
      <c r="I131" s="70" t="s">
        <v>170</v>
      </c>
      <c r="J131" s="67" t="s">
        <v>1054</v>
      </c>
      <c r="K131" s="25" t="s">
        <v>222</v>
      </c>
      <c r="L131" s="21" t="s">
        <v>818</v>
      </c>
      <c r="M131" s="25" t="s">
        <v>1048</v>
      </c>
      <c r="N131" s="95"/>
      <c r="O131" s="95"/>
      <c r="P131" s="95"/>
      <c r="Q131" s="95">
        <v>0.2</v>
      </c>
      <c r="R131" s="95">
        <v>0.4</v>
      </c>
      <c r="S131" s="95">
        <v>1.2</v>
      </c>
      <c r="T131" s="88"/>
      <c r="U131" s="88"/>
      <c r="V131" s="88"/>
      <c r="W131" s="88"/>
    </row>
    <row r="132" spans="1:23" x14ac:dyDescent="0.25">
      <c r="A132" s="43" t="s">
        <v>118</v>
      </c>
      <c r="B132" s="44">
        <v>1.8</v>
      </c>
      <c r="C132" s="27">
        <f>100-6</f>
        <v>94</v>
      </c>
      <c r="D132" s="44">
        <f t="shared" si="6"/>
        <v>95.8</v>
      </c>
      <c r="E132" s="41">
        <v>4</v>
      </c>
      <c r="F132" s="43" t="s">
        <v>12</v>
      </c>
      <c r="G132" s="43" t="s">
        <v>1047</v>
      </c>
      <c r="H132" s="43" t="s">
        <v>13</v>
      </c>
      <c r="I132" s="70" t="s">
        <v>170</v>
      </c>
      <c r="J132" s="67" t="s">
        <v>1054</v>
      </c>
      <c r="K132" s="25" t="s">
        <v>222</v>
      </c>
      <c r="L132" s="21" t="s">
        <v>818</v>
      </c>
      <c r="M132" s="25" t="s">
        <v>1049</v>
      </c>
      <c r="N132" s="95"/>
      <c r="O132" s="95"/>
      <c r="P132" s="95"/>
      <c r="Q132" s="95">
        <v>0</v>
      </c>
      <c r="R132" s="95">
        <v>0.1</v>
      </c>
      <c r="S132" s="95">
        <v>0.3</v>
      </c>
      <c r="T132" s="88"/>
      <c r="U132" s="88"/>
      <c r="V132" s="88"/>
      <c r="W132" s="88"/>
    </row>
    <row r="133" spans="1:23" x14ac:dyDescent="0.25">
      <c r="A133" s="23" t="s">
        <v>118</v>
      </c>
      <c r="B133" s="32">
        <v>62</v>
      </c>
      <c r="C133" s="22" t="s">
        <v>731</v>
      </c>
      <c r="D133" s="22">
        <f t="shared" si="6"/>
        <v>62</v>
      </c>
      <c r="E133" s="34">
        <v>6</v>
      </c>
      <c r="F133" s="23" t="s">
        <v>12</v>
      </c>
      <c r="G133" s="23" t="s">
        <v>218</v>
      </c>
      <c r="H133" s="23" t="s">
        <v>13</v>
      </c>
      <c r="I133" s="67" t="s">
        <v>171</v>
      </c>
      <c r="J133" s="65" t="s">
        <v>1162</v>
      </c>
      <c r="K133" s="21" t="s">
        <v>222</v>
      </c>
      <c r="L133" s="21" t="s">
        <v>818</v>
      </c>
      <c r="M133" s="21"/>
      <c r="N133" s="89"/>
      <c r="O133" s="89"/>
      <c r="P133" s="89"/>
      <c r="Q133" s="87"/>
      <c r="R133" s="87"/>
      <c r="S133" s="87"/>
      <c r="T133" s="87"/>
      <c r="U133" s="87"/>
      <c r="V133" s="87"/>
      <c r="W133" s="87"/>
    </row>
    <row r="134" spans="1:23" x14ac:dyDescent="0.25">
      <c r="A134" s="23" t="s">
        <v>118</v>
      </c>
      <c r="B134" s="45">
        <v>35.5</v>
      </c>
      <c r="C134" s="22" t="s">
        <v>731</v>
      </c>
      <c r="D134" s="22">
        <f t="shared" si="6"/>
        <v>35.5</v>
      </c>
      <c r="E134" s="34">
        <v>6</v>
      </c>
      <c r="F134" s="23" t="s">
        <v>12</v>
      </c>
      <c r="G134" s="23" t="s">
        <v>218</v>
      </c>
      <c r="H134" s="23" t="s">
        <v>13</v>
      </c>
      <c r="I134" s="67" t="s">
        <v>171</v>
      </c>
      <c r="J134" s="65" t="s">
        <v>1162</v>
      </c>
      <c r="K134" s="21" t="s">
        <v>222</v>
      </c>
      <c r="L134" s="21" t="s">
        <v>818</v>
      </c>
      <c r="M134" s="21"/>
      <c r="N134" s="96"/>
      <c r="O134" s="96"/>
      <c r="P134" s="96"/>
      <c r="Q134" s="87"/>
      <c r="R134" s="87"/>
      <c r="S134" s="87"/>
      <c r="T134" s="87"/>
      <c r="U134" s="87"/>
      <c r="V134" s="87"/>
      <c r="W134" s="87"/>
    </row>
    <row r="135" spans="1:23" x14ac:dyDescent="0.25">
      <c r="A135" s="23" t="s">
        <v>118</v>
      </c>
      <c r="B135" s="32">
        <v>56</v>
      </c>
      <c r="C135" s="32" t="s">
        <v>731</v>
      </c>
      <c r="D135" s="33">
        <f t="shared" si="6"/>
        <v>56</v>
      </c>
      <c r="E135" s="34">
        <v>6</v>
      </c>
      <c r="F135" s="23" t="s">
        <v>12</v>
      </c>
      <c r="G135" s="23" t="s">
        <v>220</v>
      </c>
      <c r="H135" s="23" t="s">
        <v>13</v>
      </c>
      <c r="I135" s="67" t="s">
        <v>172</v>
      </c>
      <c r="J135" s="65" t="s">
        <v>1162</v>
      </c>
      <c r="K135" s="21" t="s">
        <v>222</v>
      </c>
      <c r="L135" s="21" t="s">
        <v>818</v>
      </c>
      <c r="M135" s="21"/>
      <c r="N135" s="89"/>
      <c r="O135" s="89"/>
      <c r="P135" s="89"/>
      <c r="Q135" s="87"/>
      <c r="R135" s="87"/>
      <c r="S135" s="87"/>
      <c r="T135" s="87"/>
      <c r="U135" s="87"/>
      <c r="V135" s="87"/>
      <c r="W135" s="87"/>
    </row>
    <row r="136" spans="1:23" x14ac:dyDescent="0.25">
      <c r="A136" s="23" t="s">
        <v>118</v>
      </c>
      <c r="B136" s="32">
        <v>43</v>
      </c>
      <c r="C136" s="32" t="s">
        <v>731</v>
      </c>
      <c r="D136" s="33">
        <f t="shared" si="6"/>
        <v>43</v>
      </c>
      <c r="E136" s="34">
        <v>6</v>
      </c>
      <c r="F136" s="23" t="s">
        <v>12</v>
      </c>
      <c r="G136" s="23" t="s">
        <v>220</v>
      </c>
      <c r="H136" s="23" t="s">
        <v>13</v>
      </c>
      <c r="I136" s="67" t="s">
        <v>172</v>
      </c>
      <c r="J136" s="65" t="s">
        <v>1162</v>
      </c>
      <c r="K136" s="21" t="s">
        <v>222</v>
      </c>
      <c r="L136" s="21" t="s">
        <v>818</v>
      </c>
      <c r="M136" s="21"/>
      <c r="N136" s="89"/>
      <c r="O136" s="89"/>
      <c r="P136" s="89"/>
      <c r="Q136" s="87"/>
      <c r="R136" s="87"/>
      <c r="S136" s="87"/>
      <c r="T136" s="87"/>
      <c r="U136" s="87"/>
      <c r="V136" s="87"/>
      <c r="W136" s="87"/>
    </row>
    <row r="137" spans="1:23" x14ac:dyDescent="0.25">
      <c r="A137" s="23" t="s">
        <v>118</v>
      </c>
      <c r="B137" s="32">
        <v>65.3</v>
      </c>
      <c r="C137" s="32">
        <v>11.4</v>
      </c>
      <c r="D137" s="22">
        <f t="shared" si="6"/>
        <v>76.7</v>
      </c>
      <c r="E137" s="34">
        <v>5</v>
      </c>
      <c r="F137" s="23" t="s">
        <v>12</v>
      </c>
      <c r="G137" s="23" t="s">
        <v>220</v>
      </c>
      <c r="H137" s="23" t="s">
        <v>725</v>
      </c>
      <c r="I137" s="67" t="s">
        <v>173</v>
      </c>
      <c r="J137" s="67" t="s">
        <v>1050</v>
      </c>
      <c r="K137" s="21" t="s">
        <v>222</v>
      </c>
      <c r="L137" s="21" t="s">
        <v>818</v>
      </c>
      <c r="M137" s="21"/>
      <c r="N137" s="89">
        <v>12.2</v>
      </c>
      <c r="O137" s="89">
        <v>7.3</v>
      </c>
      <c r="P137" s="89"/>
      <c r="Q137" s="87"/>
      <c r="R137" s="87"/>
      <c r="S137" s="87"/>
      <c r="T137" s="87"/>
      <c r="U137" s="87"/>
      <c r="V137" s="87"/>
      <c r="W137" s="87"/>
    </row>
    <row r="138" spans="1:23" x14ac:dyDescent="0.25">
      <c r="A138" s="23" t="s">
        <v>118</v>
      </c>
      <c r="B138" s="32">
        <v>19</v>
      </c>
      <c r="C138" s="32">
        <v>37.200000000000003</v>
      </c>
      <c r="D138" s="22">
        <f t="shared" si="6"/>
        <v>56.2</v>
      </c>
      <c r="E138" s="34">
        <v>5</v>
      </c>
      <c r="F138" s="23" t="s">
        <v>36</v>
      </c>
      <c r="G138" s="23" t="s">
        <v>220</v>
      </c>
      <c r="H138" s="23" t="s">
        <v>725</v>
      </c>
      <c r="I138" s="67" t="s">
        <v>173</v>
      </c>
      <c r="J138" s="67" t="s">
        <v>1050</v>
      </c>
      <c r="K138" s="21" t="s">
        <v>222</v>
      </c>
      <c r="L138" s="21" t="s">
        <v>818</v>
      </c>
      <c r="M138" s="21"/>
      <c r="N138" s="89">
        <v>5.8</v>
      </c>
      <c r="O138" s="89">
        <v>26.2</v>
      </c>
      <c r="P138" s="89"/>
      <c r="Q138" s="87"/>
      <c r="R138" s="87"/>
      <c r="S138" s="87"/>
      <c r="T138" s="87"/>
      <c r="U138" s="87"/>
      <c r="V138" s="87"/>
      <c r="W138" s="87"/>
    </row>
    <row r="139" spans="1:23" x14ac:dyDescent="0.25">
      <c r="A139" s="23" t="s">
        <v>118</v>
      </c>
      <c r="B139" s="32">
        <v>60.8</v>
      </c>
      <c r="C139" s="22" t="s">
        <v>731</v>
      </c>
      <c r="D139" s="32">
        <f t="shared" si="6"/>
        <v>60.8</v>
      </c>
      <c r="E139" s="34">
        <v>10</v>
      </c>
      <c r="F139" s="23" t="s">
        <v>12</v>
      </c>
      <c r="G139" s="23" t="s">
        <v>220</v>
      </c>
      <c r="H139" s="23" t="s">
        <v>13</v>
      </c>
      <c r="I139" s="67" t="s">
        <v>174</v>
      </c>
      <c r="J139" s="65" t="s">
        <v>1162</v>
      </c>
      <c r="K139" s="21" t="s">
        <v>222</v>
      </c>
      <c r="L139" s="21" t="s">
        <v>818</v>
      </c>
      <c r="M139" s="21"/>
      <c r="N139" s="89"/>
      <c r="O139" s="89"/>
      <c r="P139" s="89"/>
      <c r="Q139" s="87"/>
      <c r="R139" s="87"/>
      <c r="S139" s="87"/>
      <c r="T139" s="87"/>
      <c r="U139" s="87"/>
      <c r="V139" s="87"/>
      <c r="W139" s="87"/>
    </row>
    <row r="140" spans="1:23" x14ac:dyDescent="0.25">
      <c r="A140" s="23" t="s">
        <v>118</v>
      </c>
      <c r="B140" s="32">
        <v>46</v>
      </c>
      <c r="C140" s="22" t="s">
        <v>731</v>
      </c>
      <c r="D140" s="22">
        <f t="shared" si="6"/>
        <v>46</v>
      </c>
      <c r="E140" s="34">
        <v>4</v>
      </c>
      <c r="F140" s="23" t="s">
        <v>12</v>
      </c>
      <c r="G140" s="23" t="s">
        <v>218</v>
      </c>
      <c r="H140" s="23" t="s">
        <v>13</v>
      </c>
      <c r="I140" s="67" t="s">
        <v>175</v>
      </c>
      <c r="J140" s="65" t="s">
        <v>1162</v>
      </c>
      <c r="K140" s="21" t="s">
        <v>222</v>
      </c>
      <c r="L140" s="21" t="s">
        <v>818</v>
      </c>
      <c r="M140" s="25" t="s">
        <v>1055</v>
      </c>
      <c r="N140" s="89"/>
      <c r="O140" s="89"/>
      <c r="P140" s="89"/>
      <c r="Q140" s="87"/>
      <c r="R140" s="87"/>
      <c r="S140" s="87"/>
      <c r="T140" s="87"/>
      <c r="U140" s="87"/>
      <c r="V140" s="87"/>
      <c r="W140" s="87"/>
    </row>
    <row r="141" spans="1:23" x14ac:dyDescent="0.25">
      <c r="A141" s="43" t="s">
        <v>118</v>
      </c>
      <c r="B141" s="44">
        <v>12</v>
      </c>
      <c r="C141" s="27" t="s">
        <v>731</v>
      </c>
      <c r="D141" s="27" t="s">
        <v>731</v>
      </c>
      <c r="E141" s="41">
        <v>4</v>
      </c>
      <c r="F141" s="43" t="s">
        <v>12</v>
      </c>
      <c r="G141" s="43" t="s">
        <v>218</v>
      </c>
      <c r="H141" s="43" t="s">
        <v>13</v>
      </c>
      <c r="I141" s="70" t="s">
        <v>175</v>
      </c>
      <c r="J141" s="65" t="s">
        <v>1162</v>
      </c>
      <c r="K141" s="25" t="s">
        <v>222</v>
      </c>
      <c r="L141" s="21" t="s">
        <v>818</v>
      </c>
      <c r="M141" s="25" t="s">
        <v>1055</v>
      </c>
      <c r="N141" s="95"/>
      <c r="O141" s="95"/>
      <c r="P141" s="95"/>
      <c r="Q141" s="88"/>
      <c r="R141" s="88"/>
      <c r="S141" s="88"/>
      <c r="T141" s="88"/>
      <c r="U141" s="88"/>
      <c r="V141" s="88"/>
      <c r="W141" s="88"/>
    </row>
    <row r="142" spans="1:23" x14ac:dyDescent="0.25">
      <c r="A142" s="43" t="s">
        <v>118</v>
      </c>
      <c r="B142" s="44">
        <v>3</v>
      </c>
      <c r="C142" s="27" t="s">
        <v>731</v>
      </c>
      <c r="D142" s="27" t="s">
        <v>731</v>
      </c>
      <c r="E142" s="41">
        <v>4</v>
      </c>
      <c r="F142" s="43" t="s">
        <v>12</v>
      </c>
      <c r="G142" s="43" t="s">
        <v>218</v>
      </c>
      <c r="H142" s="43" t="s">
        <v>13</v>
      </c>
      <c r="I142" s="70" t="s">
        <v>175</v>
      </c>
      <c r="J142" s="65" t="s">
        <v>1162</v>
      </c>
      <c r="K142" s="25" t="s">
        <v>222</v>
      </c>
      <c r="L142" s="21" t="s">
        <v>818</v>
      </c>
      <c r="M142" s="25" t="s">
        <v>1055</v>
      </c>
      <c r="N142" s="95"/>
      <c r="O142" s="95"/>
      <c r="P142" s="95"/>
      <c r="Q142" s="88"/>
      <c r="R142" s="88"/>
      <c r="S142" s="88"/>
      <c r="T142" s="88"/>
      <c r="U142" s="88"/>
      <c r="V142" s="88"/>
      <c r="W142" s="88"/>
    </row>
    <row r="143" spans="1:23" x14ac:dyDescent="0.25">
      <c r="A143" s="23" t="s">
        <v>118</v>
      </c>
      <c r="B143" s="32">
        <v>27.8</v>
      </c>
      <c r="C143" s="22" t="s">
        <v>731</v>
      </c>
      <c r="D143" s="22">
        <f t="shared" si="6"/>
        <v>27.8</v>
      </c>
      <c r="E143" s="34">
        <v>12</v>
      </c>
      <c r="F143" s="23" t="s">
        <v>12</v>
      </c>
      <c r="G143" s="23" t="s">
        <v>218</v>
      </c>
      <c r="H143" s="23" t="s">
        <v>13</v>
      </c>
      <c r="I143" s="67" t="s">
        <v>176</v>
      </c>
      <c r="J143" s="67" t="s">
        <v>1051</v>
      </c>
      <c r="K143" s="21" t="s">
        <v>222</v>
      </c>
      <c r="L143" s="21" t="s">
        <v>818</v>
      </c>
      <c r="M143" s="21"/>
      <c r="N143" s="89"/>
      <c r="O143" s="89"/>
      <c r="P143" s="89"/>
      <c r="Q143" s="87"/>
      <c r="R143" s="87"/>
      <c r="S143" s="87"/>
      <c r="T143" s="87"/>
      <c r="U143" s="87"/>
      <c r="V143" s="87"/>
      <c r="W143" s="87"/>
    </row>
    <row r="144" spans="1:23" x14ac:dyDescent="0.25">
      <c r="A144" s="23" t="s">
        <v>118</v>
      </c>
      <c r="B144" s="42">
        <f>30/500*100</f>
        <v>6</v>
      </c>
      <c r="C144" s="22" t="s">
        <v>731</v>
      </c>
      <c r="D144" s="22">
        <f t="shared" si="6"/>
        <v>6</v>
      </c>
      <c r="E144" s="34">
        <v>12</v>
      </c>
      <c r="F144" s="23" t="s">
        <v>12</v>
      </c>
      <c r="G144" s="23" t="s">
        <v>218</v>
      </c>
      <c r="H144" s="23" t="s">
        <v>13</v>
      </c>
      <c r="I144" s="67" t="s">
        <v>176</v>
      </c>
      <c r="J144" s="67" t="s">
        <v>1051</v>
      </c>
      <c r="K144" s="21" t="s">
        <v>222</v>
      </c>
      <c r="L144" s="21" t="s">
        <v>818</v>
      </c>
      <c r="M144" s="21" t="s">
        <v>1052</v>
      </c>
      <c r="N144" s="92"/>
      <c r="O144" s="92"/>
      <c r="P144" s="92"/>
      <c r="Q144" s="87"/>
      <c r="R144" s="87"/>
      <c r="S144" s="87"/>
      <c r="T144" s="87"/>
      <c r="U144" s="87"/>
      <c r="V144" s="87"/>
      <c r="W144" s="87"/>
    </row>
    <row r="145" spans="1:23" x14ac:dyDescent="0.25">
      <c r="A145" s="23" t="s">
        <v>118</v>
      </c>
      <c r="B145" s="42">
        <f>86/500*100</f>
        <v>17.2</v>
      </c>
      <c r="C145" s="22" t="s">
        <v>731</v>
      </c>
      <c r="D145" s="22">
        <f t="shared" si="6"/>
        <v>17.2</v>
      </c>
      <c r="E145" s="34">
        <v>12</v>
      </c>
      <c r="F145" s="23" t="s">
        <v>12</v>
      </c>
      <c r="G145" s="23" t="s">
        <v>218</v>
      </c>
      <c r="H145" s="23" t="s">
        <v>13</v>
      </c>
      <c r="I145" s="67" t="s">
        <v>176</v>
      </c>
      <c r="J145" s="67" t="s">
        <v>1051</v>
      </c>
      <c r="K145" s="21" t="s">
        <v>222</v>
      </c>
      <c r="L145" s="21" t="s">
        <v>818</v>
      </c>
      <c r="M145" s="21" t="s">
        <v>1053</v>
      </c>
      <c r="N145" s="92"/>
      <c r="O145" s="92"/>
      <c r="P145" s="92"/>
      <c r="Q145" s="87"/>
      <c r="R145" s="87"/>
      <c r="S145" s="87"/>
      <c r="T145" s="87"/>
      <c r="U145" s="87"/>
      <c r="V145" s="87"/>
      <c r="W145" s="87"/>
    </row>
    <row r="146" spans="1:23" x14ac:dyDescent="0.25">
      <c r="A146" s="23" t="s">
        <v>118</v>
      </c>
      <c r="B146" s="32">
        <v>0.1</v>
      </c>
      <c r="C146" s="32" t="s">
        <v>731</v>
      </c>
      <c r="D146" s="27" t="s">
        <v>731</v>
      </c>
      <c r="E146" s="34">
        <v>3</v>
      </c>
      <c r="F146" s="23" t="s">
        <v>36</v>
      </c>
      <c r="G146" s="23" t="s">
        <v>218</v>
      </c>
      <c r="H146" s="23" t="s">
        <v>13</v>
      </c>
      <c r="I146" s="67" t="s">
        <v>177</v>
      </c>
      <c r="J146" s="65" t="s">
        <v>1162</v>
      </c>
      <c r="K146" s="21" t="s">
        <v>222</v>
      </c>
      <c r="L146" s="71" t="s">
        <v>818</v>
      </c>
      <c r="M146" s="21"/>
      <c r="N146" s="89"/>
      <c r="O146" s="89"/>
      <c r="P146" s="89"/>
      <c r="Q146" s="89">
        <v>0</v>
      </c>
      <c r="R146" s="89">
        <v>0.1</v>
      </c>
      <c r="S146" s="89">
        <v>0.1</v>
      </c>
      <c r="T146" s="87"/>
      <c r="U146" s="87"/>
      <c r="V146" s="87"/>
      <c r="W146" s="87"/>
    </row>
    <row r="147" spans="1:23" x14ac:dyDescent="0.25">
      <c r="A147" s="23" t="s">
        <v>118</v>
      </c>
      <c r="B147" s="32">
        <v>23.2</v>
      </c>
      <c r="C147" s="32" t="s">
        <v>731</v>
      </c>
      <c r="D147" s="32">
        <f t="shared" si="6"/>
        <v>23.2</v>
      </c>
      <c r="E147" s="34">
        <v>4</v>
      </c>
      <c r="F147" s="23" t="s">
        <v>36</v>
      </c>
      <c r="G147" s="23" t="s">
        <v>218</v>
      </c>
      <c r="H147" s="23" t="s">
        <v>13</v>
      </c>
      <c r="I147" s="67" t="s">
        <v>177</v>
      </c>
      <c r="J147" s="65" t="s">
        <v>1162</v>
      </c>
      <c r="K147" s="21" t="s">
        <v>222</v>
      </c>
      <c r="L147" s="21" t="s">
        <v>818</v>
      </c>
      <c r="M147" s="21"/>
      <c r="N147" s="89"/>
      <c r="O147" s="89"/>
      <c r="P147" s="89"/>
      <c r="Q147" s="89">
        <v>0.4</v>
      </c>
      <c r="R147" s="89">
        <v>2.6</v>
      </c>
      <c r="S147" s="89">
        <v>3.4</v>
      </c>
      <c r="T147" s="87"/>
      <c r="U147" s="87"/>
      <c r="V147" s="87"/>
      <c r="W147" s="87"/>
    </row>
    <row r="148" spans="1:23" x14ac:dyDescent="0.25">
      <c r="A148" s="23" t="s">
        <v>118</v>
      </c>
      <c r="B148" s="32">
        <v>30.2</v>
      </c>
      <c r="C148" s="32" t="s">
        <v>731</v>
      </c>
      <c r="D148" s="32">
        <f t="shared" si="6"/>
        <v>30.2</v>
      </c>
      <c r="E148" s="34">
        <v>5</v>
      </c>
      <c r="F148" s="23" t="s">
        <v>36</v>
      </c>
      <c r="G148" s="23" t="s">
        <v>218</v>
      </c>
      <c r="H148" s="23" t="s">
        <v>13</v>
      </c>
      <c r="I148" s="67" t="s">
        <v>177</v>
      </c>
      <c r="J148" s="65" t="s">
        <v>1162</v>
      </c>
      <c r="K148" s="21" t="s">
        <v>222</v>
      </c>
      <c r="L148" s="21" t="s">
        <v>818</v>
      </c>
      <c r="M148" s="21"/>
      <c r="N148" s="89"/>
      <c r="O148" s="89"/>
      <c r="P148" s="89"/>
      <c r="Q148" s="89">
        <v>0.5</v>
      </c>
      <c r="R148" s="89">
        <v>4.4000000000000004</v>
      </c>
      <c r="S148" s="89">
        <v>3</v>
      </c>
      <c r="T148" s="87"/>
      <c r="U148" s="87"/>
      <c r="V148" s="87"/>
      <c r="W148" s="87"/>
    </row>
    <row r="149" spans="1:23" x14ac:dyDescent="0.25">
      <c r="A149" s="23" t="s">
        <v>118</v>
      </c>
      <c r="B149" s="32">
        <v>52.7</v>
      </c>
      <c r="C149" s="32" t="s">
        <v>731</v>
      </c>
      <c r="D149" s="32">
        <f t="shared" ref="D149:D157" si="7">SUM(B149:C149)</f>
        <v>52.7</v>
      </c>
      <c r="E149" s="34">
        <v>4</v>
      </c>
      <c r="F149" s="23" t="s">
        <v>12</v>
      </c>
      <c r="G149" s="23" t="s">
        <v>218</v>
      </c>
      <c r="H149" s="23" t="s">
        <v>13</v>
      </c>
      <c r="I149" s="67" t="s">
        <v>177</v>
      </c>
      <c r="J149" s="65" t="s">
        <v>1162</v>
      </c>
      <c r="K149" s="21" t="s">
        <v>222</v>
      </c>
      <c r="L149" s="21" t="s">
        <v>818</v>
      </c>
      <c r="M149" s="21"/>
      <c r="N149" s="89"/>
      <c r="O149" s="89"/>
      <c r="P149" s="89"/>
      <c r="Q149" s="89">
        <v>0.4</v>
      </c>
      <c r="R149" s="89">
        <v>13.5</v>
      </c>
      <c r="S149" s="89">
        <v>3.8</v>
      </c>
      <c r="T149" s="87"/>
      <c r="U149" s="87"/>
      <c r="V149" s="87"/>
      <c r="W149" s="87"/>
    </row>
    <row r="150" spans="1:23" x14ac:dyDescent="0.25">
      <c r="A150" s="23" t="s">
        <v>118</v>
      </c>
      <c r="B150" s="32">
        <f>(64.9+52)/2</f>
        <v>58.45</v>
      </c>
      <c r="C150" s="22" t="s">
        <v>731</v>
      </c>
      <c r="D150" s="22">
        <f t="shared" si="7"/>
        <v>58.45</v>
      </c>
      <c r="E150" s="34">
        <v>16</v>
      </c>
      <c r="F150" s="23" t="s">
        <v>12</v>
      </c>
      <c r="G150" s="23" t="s">
        <v>220</v>
      </c>
      <c r="H150" s="23" t="s">
        <v>13</v>
      </c>
      <c r="I150" s="67" t="s">
        <v>178</v>
      </c>
      <c r="J150" s="67" t="s">
        <v>1056</v>
      </c>
      <c r="K150" s="21" t="s">
        <v>222</v>
      </c>
      <c r="L150" s="21" t="s">
        <v>818</v>
      </c>
      <c r="M150" s="21"/>
      <c r="N150" s="89"/>
      <c r="O150" s="89"/>
      <c r="P150" s="89"/>
      <c r="Q150" s="87"/>
      <c r="R150" s="87"/>
      <c r="S150" s="87"/>
      <c r="T150" s="87"/>
      <c r="U150" s="87"/>
      <c r="V150" s="87"/>
      <c r="W150" s="87"/>
    </row>
    <row r="151" spans="1:23" x14ac:dyDescent="0.25">
      <c r="A151" s="23" t="s">
        <v>118</v>
      </c>
      <c r="B151" s="32">
        <f>(38.8+36.9+31.6+31.5)/4</f>
        <v>34.699999999999996</v>
      </c>
      <c r="C151" s="22">
        <f>100-AVERAGE(58,72,63,79)</f>
        <v>32</v>
      </c>
      <c r="D151" s="22">
        <f t="shared" si="7"/>
        <v>66.699999999999989</v>
      </c>
      <c r="E151" s="34">
        <v>32</v>
      </c>
      <c r="F151" s="23" t="s">
        <v>12</v>
      </c>
      <c r="G151" s="23" t="s">
        <v>218</v>
      </c>
      <c r="H151" s="23" t="s">
        <v>13</v>
      </c>
      <c r="I151" s="67" t="s">
        <v>178</v>
      </c>
      <c r="J151" s="67" t="s">
        <v>1056</v>
      </c>
      <c r="K151" s="21" t="s">
        <v>222</v>
      </c>
      <c r="L151" s="21" t="s">
        <v>818</v>
      </c>
      <c r="M151" s="21" t="s">
        <v>1057</v>
      </c>
      <c r="N151" s="89"/>
      <c r="O151" s="89"/>
      <c r="P151" s="89"/>
      <c r="Q151" s="87"/>
      <c r="R151" s="87"/>
      <c r="S151" s="87"/>
      <c r="T151" s="87"/>
      <c r="U151" s="87"/>
      <c r="V151" s="87"/>
      <c r="W151" s="87"/>
    </row>
    <row r="152" spans="1:23" x14ac:dyDescent="0.25">
      <c r="A152" s="23" t="s">
        <v>118</v>
      </c>
      <c r="B152" s="32">
        <v>35.9</v>
      </c>
      <c r="C152" s="22" t="s">
        <v>731</v>
      </c>
      <c r="D152" s="22">
        <f t="shared" si="7"/>
        <v>35.9</v>
      </c>
      <c r="E152" s="34">
        <v>12</v>
      </c>
      <c r="F152" s="23" t="s">
        <v>12</v>
      </c>
      <c r="G152" s="23" t="s">
        <v>218</v>
      </c>
      <c r="H152" s="23" t="s">
        <v>13</v>
      </c>
      <c r="I152" s="67" t="s">
        <v>179</v>
      </c>
      <c r="J152" s="65" t="s">
        <v>1162</v>
      </c>
      <c r="K152" s="21" t="s">
        <v>222</v>
      </c>
      <c r="L152" s="21" t="s">
        <v>818</v>
      </c>
      <c r="M152" s="21"/>
      <c r="N152" s="89"/>
      <c r="O152" s="89"/>
      <c r="P152" s="89"/>
      <c r="Q152" s="87"/>
      <c r="R152" s="87"/>
      <c r="S152" s="87"/>
      <c r="T152" s="87"/>
      <c r="U152" s="87"/>
      <c r="V152" s="87"/>
      <c r="W152" s="87"/>
    </row>
    <row r="153" spans="1:23" x14ac:dyDescent="0.25">
      <c r="A153" s="23" t="s">
        <v>118</v>
      </c>
      <c r="B153" s="42">
        <v>24</v>
      </c>
      <c r="C153" s="22" t="s">
        <v>731</v>
      </c>
      <c r="D153" s="22">
        <f t="shared" si="7"/>
        <v>24</v>
      </c>
      <c r="E153" s="34">
        <v>12</v>
      </c>
      <c r="F153" s="23" t="s">
        <v>12</v>
      </c>
      <c r="G153" s="23" t="s">
        <v>218</v>
      </c>
      <c r="H153" s="23" t="s">
        <v>13</v>
      </c>
      <c r="I153" s="67" t="s">
        <v>179</v>
      </c>
      <c r="J153" s="65" t="s">
        <v>1162</v>
      </c>
      <c r="K153" s="21" t="s">
        <v>222</v>
      </c>
      <c r="L153" s="21" t="s">
        <v>818</v>
      </c>
      <c r="M153" s="21"/>
      <c r="N153" s="92"/>
      <c r="O153" s="92"/>
      <c r="P153" s="92"/>
      <c r="Q153" s="87"/>
      <c r="R153" s="87"/>
      <c r="S153" s="87"/>
      <c r="T153" s="87"/>
      <c r="U153" s="87"/>
      <c r="V153" s="87"/>
      <c r="W153" s="87"/>
    </row>
    <row r="154" spans="1:23" x14ac:dyDescent="0.25">
      <c r="A154" s="23" t="s">
        <v>118</v>
      </c>
      <c r="B154" s="32">
        <v>60.2</v>
      </c>
      <c r="C154" s="22" t="s">
        <v>731</v>
      </c>
      <c r="D154" s="22">
        <f t="shared" si="7"/>
        <v>60.2</v>
      </c>
      <c r="E154" s="34">
        <v>8</v>
      </c>
      <c r="F154" s="23" t="s">
        <v>12</v>
      </c>
      <c r="G154" s="23" t="s">
        <v>220</v>
      </c>
      <c r="H154" s="23" t="s">
        <v>13</v>
      </c>
      <c r="I154" s="67" t="s">
        <v>180</v>
      </c>
      <c r="J154" s="65" t="s">
        <v>1162</v>
      </c>
      <c r="K154" s="21" t="s">
        <v>222</v>
      </c>
      <c r="L154" s="21" t="s">
        <v>818</v>
      </c>
      <c r="M154" s="21"/>
      <c r="N154" s="89"/>
      <c r="O154" s="89"/>
      <c r="P154" s="89"/>
      <c r="Q154" s="87"/>
      <c r="R154" s="87"/>
      <c r="S154" s="87"/>
      <c r="T154" s="87"/>
      <c r="U154" s="87"/>
      <c r="V154" s="87"/>
      <c r="W154" s="87"/>
    </row>
    <row r="155" spans="1:23" x14ac:dyDescent="0.25">
      <c r="A155" s="23" t="s">
        <v>118</v>
      </c>
      <c r="B155" s="32">
        <v>57.3</v>
      </c>
      <c r="C155" s="22" t="s">
        <v>731</v>
      </c>
      <c r="D155" s="22">
        <f t="shared" si="7"/>
        <v>57.3</v>
      </c>
      <c r="E155" s="34">
        <v>10</v>
      </c>
      <c r="F155" s="23" t="s">
        <v>12</v>
      </c>
      <c r="G155" s="23" t="s">
        <v>220</v>
      </c>
      <c r="H155" s="23" t="s">
        <v>13</v>
      </c>
      <c r="I155" s="67" t="s">
        <v>181</v>
      </c>
      <c r="J155" s="65" t="s">
        <v>1162</v>
      </c>
      <c r="K155" s="21" t="s">
        <v>222</v>
      </c>
      <c r="L155" s="21" t="s">
        <v>818</v>
      </c>
      <c r="M155" s="21"/>
      <c r="N155" s="89"/>
      <c r="O155" s="89"/>
      <c r="P155" s="89"/>
      <c r="Q155" s="87"/>
      <c r="R155" s="87"/>
      <c r="S155" s="87"/>
      <c r="T155" s="87"/>
      <c r="U155" s="87"/>
      <c r="V155" s="87"/>
      <c r="W155" s="87"/>
    </row>
    <row r="156" spans="1:23" x14ac:dyDescent="0.25">
      <c r="A156" s="23" t="s">
        <v>118</v>
      </c>
      <c r="B156" s="32">
        <v>42</v>
      </c>
      <c r="C156" s="22" t="s">
        <v>731</v>
      </c>
      <c r="D156" s="22">
        <f t="shared" si="7"/>
        <v>42</v>
      </c>
      <c r="E156" s="34">
        <v>6</v>
      </c>
      <c r="F156" s="23" t="s">
        <v>12</v>
      </c>
      <c r="G156" s="23" t="s">
        <v>218</v>
      </c>
      <c r="H156" s="23" t="s">
        <v>13</v>
      </c>
      <c r="I156" s="67" t="s">
        <v>182</v>
      </c>
      <c r="J156" s="67" t="s">
        <v>1058</v>
      </c>
      <c r="K156" s="21" t="s">
        <v>222</v>
      </c>
      <c r="L156" s="21" t="s">
        <v>818</v>
      </c>
      <c r="M156" s="21"/>
      <c r="N156" s="89"/>
      <c r="O156" s="89"/>
      <c r="P156" s="89"/>
      <c r="Q156" s="87"/>
      <c r="R156" s="87"/>
      <c r="S156" s="87"/>
      <c r="T156" s="87"/>
      <c r="U156" s="87"/>
      <c r="V156" s="87"/>
      <c r="W156" s="87"/>
    </row>
    <row r="157" spans="1:23" x14ac:dyDescent="0.25">
      <c r="A157" s="23" t="s">
        <v>118</v>
      </c>
      <c r="B157" s="32">
        <v>38.5</v>
      </c>
      <c r="C157" s="22" t="s">
        <v>731</v>
      </c>
      <c r="D157" s="22">
        <f t="shared" si="7"/>
        <v>38.5</v>
      </c>
      <c r="E157" s="34">
        <v>6</v>
      </c>
      <c r="F157" s="23" t="s">
        <v>15</v>
      </c>
      <c r="G157" s="23" t="s">
        <v>218</v>
      </c>
      <c r="H157" s="23" t="s">
        <v>13</v>
      </c>
      <c r="I157" s="67" t="s">
        <v>182</v>
      </c>
      <c r="J157" s="67" t="s">
        <v>1058</v>
      </c>
      <c r="K157" s="21" t="s">
        <v>222</v>
      </c>
      <c r="L157" s="21" t="s">
        <v>818</v>
      </c>
      <c r="M157" s="21"/>
      <c r="N157" s="89"/>
      <c r="O157" s="89"/>
      <c r="P157" s="89"/>
      <c r="Q157" s="87"/>
      <c r="R157" s="87"/>
      <c r="S157" s="87"/>
      <c r="T157" s="87"/>
      <c r="U157" s="87"/>
      <c r="V157" s="87"/>
      <c r="W157" s="87"/>
    </row>
    <row r="158" spans="1:23" x14ac:dyDescent="0.25">
      <c r="A158" s="23" t="s">
        <v>118</v>
      </c>
      <c r="B158" s="22" t="s">
        <v>731</v>
      </c>
      <c r="C158" s="22" t="s">
        <v>731</v>
      </c>
      <c r="D158" s="22" t="s">
        <v>731</v>
      </c>
      <c r="E158" s="34">
        <v>3</v>
      </c>
      <c r="F158" s="23" t="s">
        <v>15</v>
      </c>
      <c r="G158" s="23" t="s">
        <v>218</v>
      </c>
      <c r="H158" s="23" t="s">
        <v>13</v>
      </c>
      <c r="I158" s="67" t="s">
        <v>182</v>
      </c>
      <c r="J158" s="67" t="s">
        <v>1058</v>
      </c>
      <c r="K158" s="21" t="s">
        <v>222</v>
      </c>
      <c r="L158" s="21" t="s">
        <v>818</v>
      </c>
      <c r="M158" s="21"/>
      <c r="N158" s="87"/>
      <c r="O158" s="87"/>
      <c r="P158" s="87"/>
      <c r="Q158" s="89">
        <v>0.4</v>
      </c>
      <c r="R158" s="89">
        <v>0.7</v>
      </c>
      <c r="S158" s="89">
        <v>0.2</v>
      </c>
      <c r="T158" s="89">
        <v>0.3</v>
      </c>
      <c r="U158" s="87"/>
      <c r="V158" s="87"/>
      <c r="W158" s="87"/>
    </row>
    <row r="159" spans="1:23" x14ac:dyDescent="0.25">
      <c r="A159" s="23" t="s">
        <v>118</v>
      </c>
      <c r="B159" s="22" t="s">
        <v>731</v>
      </c>
      <c r="C159" s="22" t="s">
        <v>731</v>
      </c>
      <c r="D159" s="22" t="s">
        <v>731</v>
      </c>
      <c r="E159" s="34">
        <v>12</v>
      </c>
      <c r="F159" s="23" t="s">
        <v>15</v>
      </c>
      <c r="G159" s="23" t="s">
        <v>218</v>
      </c>
      <c r="H159" s="23" t="s">
        <v>13</v>
      </c>
      <c r="I159" s="67" t="s">
        <v>182</v>
      </c>
      <c r="J159" s="67" t="s">
        <v>1058</v>
      </c>
      <c r="K159" s="21" t="s">
        <v>222</v>
      </c>
      <c r="L159" s="21" t="s">
        <v>818</v>
      </c>
      <c r="M159" s="21"/>
      <c r="N159" s="87"/>
      <c r="O159" s="87"/>
      <c r="P159" s="87"/>
      <c r="Q159" s="89">
        <v>0.4</v>
      </c>
      <c r="R159" s="89">
        <v>0.7</v>
      </c>
      <c r="S159" s="89">
        <v>0.2</v>
      </c>
      <c r="T159" s="89">
        <v>0.3</v>
      </c>
      <c r="U159" s="87"/>
      <c r="V159" s="87"/>
      <c r="W159" s="87"/>
    </row>
    <row r="160" spans="1:23" x14ac:dyDescent="0.25">
      <c r="A160" s="23" t="s">
        <v>118</v>
      </c>
      <c r="B160" s="32">
        <v>26.02</v>
      </c>
      <c r="C160" s="32">
        <v>0.32</v>
      </c>
      <c r="D160" s="32">
        <f>SUM(B160:C160)</f>
        <v>26.34</v>
      </c>
      <c r="E160" s="34">
        <v>12</v>
      </c>
      <c r="F160" s="23" t="s">
        <v>15</v>
      </c>
      <c r="G160" s="23" t="s">
        <v>218</v>
      </c>
      <c r="H160" s="23" t="s">
        <v>725</v>
      </c>
      <c r="I160" s="67" t="s">
        <v>183</v>
      </c>
      <c r="J160" s="65" t="s">
        <v>1162</v>
      </c>
      <c r="K160" s="21" t="s">
        <v>222</v>
      </c>
      <c r="L160" s="21" t="s">
        <v>818</v>
      </c>
      <c r="M160" s="21"/>
      <c r="N160" s="89">
        <v>12.5</v>
      </c>
      <c r="O160" s="89">
        <v>2.2999999999999998</v>
      </c>
      <c r="P160" s="89"/>
      <c r="Q160" s="89">
        <v>0.5</v>
      </c>
      <c r="R160" s="89">
        <v>1.3</v>
      </c>
      <c r="S160" s="89">
        <v>2.6</v>
      </c>
      <c r="T160" s="87"/>
      <c r="U160" s="87"/>
      <c r="V160" s="87"/>
      <c r="W160" s="87"/>
    </row>
    <row r="161" spans="1:23" x14ac:dyDescent="0.25">
      <c r="A161" s="23" t="s">
        <v>118</v>
      </c>
      <c r="B161" s="40">
        <v>35</v>
      </c>
      <c r="C161" s="22" t="s">
        <v>731</v>
      </c>
      <c r="D161" s="22">
        <f>SUM(B161:C161)</f>
        <v>35</v>
      </c>
      <c r="E161" s="34">
        <v>6</v>
      </c>
      <c r="F161" s="23" t="s">
        <v>12</v>
      </c>
      <c r="G161" s="23" t="s">
        <v>218</v>
      </c>
      <c r="H161" s="23" t="s">
        <v>13</v>
      </c>
      <c r="I161" s="67" t="s">
        <v>184</v>
      </c>
      <c r="J161" s="67" t="s">
        <v>1025</v>
      </c>
      <c r="K161" s="21" t="s">
        <v>222</v>
      </c>
      <c r="L161" s="21" t="s">
        <v>818</v>
      </c>
      <c r="M161" s="21"/>
      <c r="N161" s="97"/>
      <c r="O161" s="97"/>
      <c r="P161" s="97"/>
      <c r="Q161" s="97">
        <v>0.1</v>
      </c>
      <c r="R161" s="97">
        <v>2.2000000000000002</v>
      </c>
      <c r="S161" s="97">
        <v>0</v>
      </c>
      <c r="T161" s="87"/>
      <c r="U161" s="87"/>
      <c r="V161" s="87"/>
      <c r="W161" s="87"/>
    </row>
    <row r="162" spans="1:23" x14ac:dyDescent="0.25">
      <c r="A162" s="23" t="s">
        <v>118</v>
      </c>
      <c r="B162" s="32">
        <v>44.3</v>
      </c>
      <c r="C162" s="32">
        <v>0.41</v>
      </c>
      <c r="D162" s="22">
        <f>SUM(B162:C162)</f>
        <v>44.709999999999994</v>
      </c>
      <c r="E162" s="34">
        <v>6</v>
      </c>
      <c r="F162" s="23" t="s">
        <v>15</v>
      </c>
      <c r="G162" s="23" t="s">
        <v>220</v>
      </c>
      <c r="H162" s="23" t="s">
        <v>725</v>
      </c>
      <c r="I162" s="67" t="s">
        <v>185</v>
      </c>
      <c r="J162" s="65" t="s">
        <v>1162</v>
      </c>
      <c r="K162" s="21" t="s">
        <v>222</v>
      </c>
      <c r="L162" s="21" t="s">
        <v>818</v>
      </c>
      <c r="M162" s="21"/>
      <c r="N162" s="89"/>
      <c r="O162" s="89"/>
      <c r="P162" s="89"/>
      <c r="Q162" s="87"/>
      <c r="R162" s="87"/>
      <c r="S162" s="87"/>
      <c r="T162" s="87"/>
      <c r="U162" s="87"/>
      <c r="V162" s="87"/>
      <c r="W162" s="87"/>
    </row>
    <row r="163" spans="1:23" x14ac:dyDescent="0.25">
      <c r="A163" s="43" t="s">
        <v>118</v>
      </c>
      <c r="B163" s="44">
        <v>36</v>
      </c>
      <c r="C163" s="27" t="s">
        <v>731</v>
      </c>
      <c r="D163" s="27">
        <v>36</v>
      </c>
      <c r="E163" s="41">
        <v>12</v>
      </c>
      <c r="F163" s="43" t="s">
        <v>12</v>
      </c>
      <c r="G163" s="43" t="s">
        <v>218</v>
      </c>
      <c r="H163" s="43" t="s">
        <v>13</v>
      </c>
      <c r="I163" s="70" t="s">
        <v>186</v>
      </c>
      <c r="J163" s="65" t="s">
        <v>1162</v>
      </c>
      <c r="K163" s="25" t="s">
        <v>222</v>
      </c>
      <c r="L163" s="21" t="s">
        <v>818</v>
      </c>
      <c r="M163" s="25" t="s">
        <v>1079</v>
      </c>
      <c r="N163" s="95"/>
      <c r="O163" s="95"/>
      <c r="P163" s="95"/>
      <c r="Q163" s="95">
        <v>0.8</v>
      </c>
      <c r="R163" s="95">
        <v>3.2</v>
      </c>
      <c r="S163" s="95">
        <v>6</v>
      </c>
      <c r="T163" s="88"/>
      <c r="U163" s="88"/>
      <c r="V163" s="88"/>
      <c r="W163" s="88"/>
    </row>
    <row r="164" spans="1:23" x14ac:dyDescent="0.25">
      <c r="A164" s="43" t="s">
        <v>118</v>
      </c>
      <c r="B164" s="44">
        <v>7.4</v>
      </c>
      <c r="C164" s="27" t="s">
        <v>731</v>
      </c>
      <c r="D164" s="27">
        <v>7.4</v>
      </c>
      <c r="E164" s="41">
        <v>12</v>
      </c>
      <c r="F164" s="43" t="s">
        <v>12</v>
      </c>
      <c r="G164" s="43" t="s">
        <v>218</v>
      </c>
      <c r="H164" s="43" t="s">
        <v>13</v>
      </c>
      <c r="I164" s="70" t="s">
        <v>186</v>
      </c>
      <c r="J164" s="65" t="s">
        <v>1162</v>
      </c>
      <c r="K164" s="25" t="s">
        <v>222</v>
      </c>
      <c r="L164" s="21" t="s">
        <v>818</v>
      </c>
      <c r="M164" s="25" t="s">
        <v>1079</v>
      </c>
      <c r="N164" s="95"/>
      <c r="O164" s="95"/>
      <c r="P164" s="95"/>
      <c r="Q164" s="95">
        <v>0.2</v>
      </c>
      <c r="R164" s="95">
        <v>0.7</v>
      </c>
      <c r="S164" s="95">
        <v>1.4</v>
      </c>
      <c r="T164" s="88"/>
      <c r="U164" s="88"/>
      <c r="V164" s="88"/>
      <c r="W164" s="88"/>
    </row>
    <row r="165" spans="1:23" x14ac:dyDescent="0.25">
      <c r="A165" s="23" t="s">
        <v>118</v>
      </c>
      <c r="B165" s="32">
        <v>75.599999999999994</v>
      </c>
      <c r="C165" s="22" t="s">
        <v>731</v>
      </c>
      <c r="D165" s="32">
        <f t="shared" ref="D165:D170" si="8">SUM(B165:C165)</f>
        <v>75.599999999999994</v>
      </c>
      <c r="E165" s="34">
        <v>12</v>
      </c>
      <c r="F165" s="23" t="s">
        <v>12</v>
      </c>
      <c r="G165" s="23" t="s">
        <v>220</v>
      </c>
      <c r="H165" s="23" t="s">
        <v>13</v>
      </c>
      <c r="I165" s="67" t="s">
        <v>187</v>
      </c>
      <c r="J165" s="67" t="s">
        <v>1059</v>
      </c>
      <c r="K165" s="21" t="s">
        <v>222</v>
      </c>
      <c r="L165" s="21" t="s">
        <v>818</v>
      </c>
      <c r="M165" s="21"/>
      <c r="N165" s="89"/>
      <c r="O165" s="89"/>
      <c r="P165" s="89"/>
      <c r="Q165" s="87"/>
      <c r="R165" s="87"/>
      <c r="S165" s="87"/>
      <c r="T165" s="87"/>
      <c r="U165" s="87"/>
      <c r="V165" s="87"/>
      <c r="W165" s="87"/>
    </row>
    <row r="166" spans="1:23" x14ac:dyDescent="0.25">
      <c r="A166" s="23" t="s">
        <v>118</v>
      </c>
      <c r="B166" s="32">
        <v>62</v>
      </c>
      <c r="C166" s="22" t="s">
        <v>731</v>
      </c>
      <c r="D166" s="32">
        <f t="shared" si="8"/>
        <v>62</v>
      </c>
      <c r="E166" s="34">
        <v>12</v>
      </c>
      <c r="F166" s="23" t="s">
        <v>15</v>
      </c>
      <c r="G166" s="23" t="s">
        <v>220</v>
      </c>
      <c r="H166" s="23" t="s">
        <v>13</v>
      </c>
      <c r="I166" s="67" t="s">
        <v>187</v>
      </c>
      <c r="J166" s="67" t="s">
        <v>1059</v>
      </c>
      <c r="K166" s="21" t="s">
        <v>222</v>
      </c>
      <c r="L166" s="21" t="s">
        <v>818</v>
      </c>
      <c r="M166" s="21"/>
      <c r="N166" s="89"/>
      <c r="O166" s="89"/>
      <c r="P166" s="89"/>
      <c r="Q166" s="87"/>
      <c r="R166" s="87"/>
      <c r="S166" s="87"/>
      <c r="T166" s="87"/>
      <c r="U166" s="87"/>
      <c r="V166" s="87"/>
      <c r="W166" s="87"/>
    </row>
    <row r="167" spans="1:23" x14ac:dyDescent="0.25">
      <c r="A167" s="23" t="s">
        <v>118</v>
      </c>
      <c r="B167" s="32">
        <v>44.1</v>
      </c>
      <c r="C167" s="22">
        <f>100-70</f>
        <v>30</v>
      </c>
      <c r="D167" s="32">
        <f t="shared" si="8"/>
        <v>74.099999999999994</v>
      </c>
      <c r="E167" s="34">
        <v>12</v>
      </c>
      <c r="F167" s="23" t="s">
        <v>12</v>
      </c>
      <c r="G167" s="23" t="s">
        <v>218</v>
      </c>
      <c r="H167" s="23" t="s">
        <v>13</v>
      </c>
      <c r="I167" s="67" t="s">
        <v>187</v>
      </c>
      <c r="J167" s="67" t="s">
        <v>1059</v>
      </c>
      <c r="K167" s="21" t="s">
        <v>222</v>
      </c>
      <c r="L167" s="21" t="s">
        <v>818</v>
      </c>
      <c r="M167" s="21" t="s">
        <v>1060</v>
      </c>
      <c r="N167" s="89"/>
      <c r="O167" s="89"/>
      <c r="P167" s="89"/>
      <c r="Q167" s="87"/>
      <c r="R167" s="87"/>
      <c r="S167" s="87"/>
      <c r="T167" s="87"/>
      <c r="U167" s="87"/>
      <c r="V167" s="87"/>
      <c r="W167" s="87"/>
    </row>
    <row r="168" spans="1:23" x14ac:dyDescent="0.25">
      <c r="A168" s="23" t="s">
        <v>118</v>
      </c>
      <c r="B168" s="32">
        <v>33</v>
      </c>
      <c r="C168" s="22">
        <f>100-72.4</f>
        <v>27.599999999999994</v>
      </c>
      <c r="D168" s="32">
        <f t="shared" si="8"/>
        <v>60.599999999999994</v>
      </c>
      <c r="E168" s="34">
        <v>12</v>
      </c>
      <c r="F168" s="23" t="s">
        <v>15</v>
      </c>
      <c r="G168" s="23" t="s">
        <v>218</v>
      </c>
      <c r="H168" s="23" t="s">
        <v>13</v>
      </c>
      <c r="I168" s="67" t="s">
        <v>187</v>
      </c>
      <c r="J168" s="67" t="s">
        <v>1059</v>
      </c>
      <c r="K168" s="21" t="s">
        <v>222</v>
      </c>
      <c r="L168" s="21" t="s">
        <v>818</v>
      </c>
      <c r="M168" s="21" t="s">
        <v>1061</v>
      </c>
      <c r="N168" s="89"/>
      <c r="O168" s="89"/>
      <c r="P168" s="89"/>
      <c r="Q168" s="87"/>
      <c r="R168" s="87"/>
      <c r="S168" s="87"/>
      <c r="T168" s="87"/>
      <c r="U168" s="87"/>
      <c r="V168" s="87"/>
      <c r="W168" s="87"/>
    </row>
    <row r="169" spans="1:23" x14ac:dyDescent="0.25">
      <c r="A169" s="23" t="s">
        <v>118</v>
      </c>
      <c r="B169" s="32">
        <v>26</v>
      </c>
      <c r="C169" s="22" t="s">
        <v>731</v>
      </c>
      <c r="D169" s="32">
        <f t="shared" si="8"/>
        <v>26</v>
      </c>
      <c r="E169" s="34">
        <v>17</v>
      </c>
      <c r="F169" s="23" t="s">
        <v>36</v>
      </c>
      <c r="G169" s="23" t="s">
        <v>218</v>
      </c>
      <c r="H169" s="23" t="s">
        <v>13</v>
      </c>
      <c r="I169" s="67" t="s">
        <v>188</v>
      </c>
      <c r="J169" s="67" t="s">
        <v>1062</v>
      </c>
      <c r="K169" s="21" t="s">
        <v>222</v>
      </c>
      <c r="L169" s="21" t="s">
        <v>818</v>
      </c>
      <c r="M169" s="21"/>
      <c r="N169" s="89"/>
      <c r="O169" s="89"/>
      <c r="P169" s="89"/>
      <c r="Q169" s="87"/>
      <c r="R169" s="87"/>
      <c r="S169" s="87"/>
      <c r="T169" s="87"/>
      <c r="U169" s="87"/>
      <c r="V169" s="87"/>
      <c r="W169" s="87"/>
    </row>
    <row r="170" spans="1:23" x14ac:dyDescent="0.25">
      <c r="A170" s="23" t="s">
        <v>118</v>
      </c>
      <c r="B170" s="32">
        <v>15</v>
      </c>
      <c r="C170" s="32" t="s">
        <v>731</v>
      </c>
      <c r="D170" s="32">
        <f t="shared" si="8"/>
        <v>15</v>
      </c>
      <c r="E170" s="34">
        <v>15</v>
      </c>
      <c r="F170" s="23" t="s">
        <v>36</v>
      </c>
      <c r="G170" s="23" t="s">
        <v>218</v>
      </c>
      <c r="H170" s="23" t="s">
        <v>13</v>
      </c>
      <c r="I170" s="67" t="s">
        <v>188</v>
      </c>
      <c r="J170" s="67" t="s">
        <v>1062</v>
      </c>
      <c r="K170" s="21" t="s">
        <v>222</v>
      </c>
      <c r="L170" s="21" t="s">
        <v>818</v>
      </c>
      <c r="M170" s="21"/>
      <c r="N170" s="89"/>
      <c r="O170" s="89"/>
      <c r="P170" s="89"/>
      <c r="Q170" s="87"/>
      <c r="R170" s="87"/>
      <c r="S170" s="87"/>
      <c r="T170" s="87"/>
      <c r="U170" s="87"/>
      <c r="V170" s="87"/>
      <c r="W170" s="87"/>
    </row>
    <row r="171" spans="1:23" x14ac:dyDescent="0.25">
      <c r="A171" s="23" t="s">
        <v>118</v>
      </c>
      <c r="B171" s="32">
        <v>42.4</v>
      </c>
      <c r="C171" s="32" t="s">
        <v>731</v>
      </c>
      <c r="D171" s="32">
        <v>42.4</v>
      </c>
      <c r="E171" s="34">
        <v>12</v>
      </c>
      <c r="F171" s="23" t="s">
        <v>12</v>
      </c>
      <c r="G171" s="23" t="s">
        <v>220</v>
      </c>
      <c r="H171" s="23" t="s">
        <v>13</v>
      </c>
      <c r="I171" s="67" t="s">
        <v>189</v>
      </c>
      <c r="J171" s="67" t="s">
        <v>1063</v>
      </c>
      <c r="K171" s="21" t="s">
        <v>222</v>
      </c>
      <c r="L171" s="21" t="s">
        <v>818</v>
      </c>
      <c r="M171" s="21"/>
      <c r="N171" s="89"/>
      <c r="O171" s="89"/>
      <c r="P171" s="89"/>
      <c r="Q171" s="87"/>
      <c r="R171" s="87"/>
      <c r="S171" s="87"/>
      <c r="T171" s="87"/>
      <c r="U171" s="87"/>
      <c r="V171" s="87"/>
      <c r="W171" s="87"/>
    </row>
    <row r="172" spans="1:23" x14ac:dyDescent="0.25">
      <c r="A172" s="23" t="s">
        <v>118</v>
      </c>
      <c r="B172" s="32">
        <v>42.5</v>
      </c>
      <c r="C172" s="32" t="s">
        <v>731</v>
      </c>
      <c r="D172" s="32">
        <v>42.5</v>
      </c>
      <c r="E172" s="34">
        <v>12</v>
      </c>
      <c r="F172" s="23" t="s">
        <v>12</v>
      </c>
      <c r="G172" s="23" t="s">
        <v>218</v>
      </c>
      <c r="H172" s="23" t="s">
        <v>13</v>
      </c>
      <c r="I172" s="67" t="s">
        <v>189</v>
      </c>
      <c r="J172" s="67" t="s">
        <v>1063</v>
      </c>
      <c r="K172" s="21" t="s">
        <v>222</v>
      </c>
      <c r="L172" s="21" t="s">
        <v>818</v>
      </c>
      <c r="M172" s="21"/>
      <c r="N172" s="89"/>
      <c r="O172" s="89"/>
      <c r="P172" s="89"/>
      <c r="Q172" s="87"/>
      <c r="R172" s="87"/>
      <c r="S172" s="87"/>
      <c r="T172" s="87"/>
      <c r="U172" s="87"/>
      <c r="V172" s="87"/>
      <c r="W172" s="87"/>
    </row>
    <row r="173" spans="1:23" x14ac:dyDescent="0.25">
      <c r="A173" s="23" t="s">
        <v>118</v>
      </c>
      <c r="B173" s="32">
        <v>44.7</v>
      </c>
      <c r="C173" s="22" t="s">
        <v>731</v>
      </c>
      <c r="D173" s="32">
        <f t="shared" ref="D173:D211" si="9">SUM(B173:C173)</f>
        <v>44.7</v>
      </c>
      <c r="E173" s="25">
        <v>1</v>
      </c>
      <c r="F173" s="23" t="s">
        <v>12</v>
      </c>
      <c r="G173" s="23" t="s">
        <v>218</v>
      </c>
      <c r="H173" s="23" t="s">
        <v>13</v>
      </c>
      <c r="I173" s="67" t="s">
        <v>190</v>
      </c>
      <c r="J173" s="65" t="s">
        <v>1162</v>
      </c>
      <c r="K173" s="21" t="s">
        <v>222</v>
      </c>
      <c r="L173" s="21" t="s">
        <v>818</v>
      </c>
      <c r="M173" s="21" t="s">
        <v>1078</v>
      </c>
      <c r="N173" s="89"/>
      <c r="O173" s="89"/>
      <c r="P173" s="89"/>
      <c r="Q173" s="87"/>
      <c r="R173" s="87"/>
      <c r="S173" s="87"/>
      <c r="T173" s="87"/>
      <c r="U173" s="87"/>
      <c r="V173" s="87"/>
      <c r="W173" s="87"/>
    </row>
    <row r="174" spans="1:23" x14ac:dyDescent="0.25">
      <c r="A174" s="23" t="s">
        <v>118</v>
      </c>
      <c r="B174" s="22" t="s">
        <v>731</v>
      </c>
      <c r="C174" s="32">
        <v>25</v>
      </c>
      <c r="D174" s="32">
        <f t="shared" si="9"/>
        <v>25</v>
      </c>
      <c r="E174" s="25">
        <v>1</v>
      </c>
      <c r="F174" s="23" t="s">
        <v>12</v>
      </c>
      <c r="G174" s="23" t="s">
        <v>218</v>
      </c>
      <c r="H174" s="23" t="s">
        <v>59</v>
      </c>
      <c r="I174" s="67" t="s">
        <v>190</v>
      </c>
      <c r="J174" s="65" t="s">
        <v>1162</v>
      </c>
      <c r="K174" s="21" t="s">
        <v>222</v>
      </c>
      <c r="L174" s="21" t="s">
        <v>818</v>
      </c>
      <c r="M174" s="21" t="s">
        <v>1078</v>
      </c>
      <c r="N174" s="89"/>
      <c r="O174" s="89"/>
      <c r="P174" s="89"/>
      <c r="Q174" s="89">
        <v>1.4</v>
      </c>
      <c r="R174" s="89">
        <v>3.7</v>
      </c>
      <c r="S174" s="89">
        <v>6.2</v>
      </c>
      <c r="T174" s="87"/>
      <c r="U174" s="87"/>
      <c r="V174" s="87"/>
      <c r="W174" s="87"/>
    </row>
    <row r="175" spans="1:23" x14ac:dyDescent="0.25">
      <c r="A175" s="23" t="s">
        <v>118</v>
      </c>
      <c r="B175" s="32">
        <v>61.5</v>
      </c>
      <c r="C175" s="22" t="s">
        <v>731</v>
      </c>
      <c r="D175" s="32">
        <f t="shared" si="9"/>
        <v>61.5</v>
      </c>
      <c r="E175" s="25">
        <v>1</v>
      </c>
      <c r="F175" s="23" t="s">
        <v>12</v>
      </c>
      <c r="G175" s="23" t="s">
        <v>220</v>
      </c>
      <c r="H175" s="23" t="s">
        <v>13</v>
      </c>
      <c r="I175" s="67" t="s">
        <v>190</v>
      </c>
      <c r="J175" s="65" t="s">
        <v>1162</v>
      </c>
      <c r="K175" s="21" t="s">
        <v>222</v>
      </c>
      <c r="L175" s="21" t="s">
        <v>818</v>
      </c>
      <c r="M175" s="21" t="s">
        <v>1078</v>
      </c>
      <c r="N175" s="89"/>
      <c r="O175" s="89"/>
      <c r="P175" s="89"/>
      <c r="Q175" s="89">
        <v>0.5</v>
      </c>
      <c r="R175" s="89">
        <v>6</v>
      </c>
      <c r="S175" s="89">
        <v>1</v>
      </c>
      <c r="T175" s="87"/>
      <c r="U175" s="87"/>
      <c r="V175" s="87"/>
      <c r="W175" s="87"/>
    </row>
    <row r="176" spans="1:23" x14ac:dyDescent="0.25">
      <c r="A176" s="23" t="s">
        <v>118</v>
      </c>
      <c r="B176" s="22" t="s">
        <v>731</v>
      </c>
      <c r="C176" s="32">
        <v>15.2</v>
      </c>
      <c r="D176" s="32">
        <f t="shared" si="9"/>
        <v>15.2</v>
      </c>
      <c r="E176" s="25">
        <v>1</v>
      </c>
      <c r="F176" s="23" t="s">
        <v>12</v>
      </c>
      <c r="G176" s="23" t="s">
        <v>220</v>
      </c>
      <c r="H176" s="23" t="s">
        <v>59</v>
      </c>
      <c r="I176" s="67" t="s">
        <v>190</v>
      </c>
      <c r="J176" s="65" t="s">
        <v>1162</v>
      </c>
      <c r="K176" s="21" t="s">
        <v>222</v>
      </c>
      <c r="L176" s="21" t="s">
        <v>818</v>
      </c>
      <c r="M176" s="21" t="s">
        <v>1078</v>
      </c>
      <c r="N176" s="89"/>
      <c r="O176" s="89"/>
      <c r="P176" s="89"/>
      <c r="Q176" s="89">
        <v>1.4</v>
      </c>
      <c r="R176" s="89">
        <v>2.6</v>
      </c>
      <c r="S176" s="89">
        <v>5.6</v>
      </c>
      <c r="T176" s="87"/>
      <c r="U176" s="87"/>
      <c r="V176" s="87"/>
      <c r="W176" s="87"/>
    </row>
    <row r="177" spans="1:23" x14ac:dyDescent="0.25">
      <c r="A177" s="23" t="s">
        <v>118</v>
      </c>
      <c r="B177" s="32">
        <v>50</v>
      </c>
      <c r="C177" s="22" t="s">
        <v>731</v>
      </c>
      <c r="D177" s="32">
        <f t="shared" si="9"/>
        <v>50</v>
      </c>
      <c r="E177" s="34">
        <v>9</v>
      </c>
      <c r="F177" s="23" t="s">
        <v>12</v>
      </c>
      <c r="G177" s="23" t="s">
        <v>220</v>
      </c>
      <c r="H177" s="23" t="s">
        <v>13</v>
      </c>
      <c r="I177" s="67" t="s">
        <v>191</v>
      </c>
      <c r="J177" s="65" t="s">
        <v>1162</v>
      </c>
      <c r="K177" s="21" t="s">
        <v>222</v>
      </c>
      <c r="L177" s="21" t="s">
        <v>818</v>
      </c>
      <c r="M177" s="21" t="s">
        <v>1078</v>
      </c>
      <c r="N177" s="89"/>
      <c r="O177" s="89"/>
      <c r="P177" s="89"/>
      <c r="Q177" s="89">
        <v>0.5</v>
      </c>
      <c r="R177" s="89">
        <v>1.3</v>
      </c>
      <c r="S177" s="89">
        <v>1</v>
      </c>
      <c r="T177" s="87"/>
      <c r="U177" s="87"/>
      <c r="V177" s="87"/>
      <c r="W177" s="87"/>
    </row>
    <row r="178" spans="1:23" x14ac:dyDescent="0.25">
      <c r="A178" s="23" t="s">
        <v>118</v>
      </c>
      <c r="B178" s="32">
        <v>26</v>
      </c>
      <c r="C178" s="22">
        <v>0.74</v>
      </c>
      <c r="D178" s="32">
        <f t="shared" si="9"/>
        <v>26.74</v>
      </c>
      <c r="E178" s="34">
        <v>12</v>
      </c>
      <c r="F178" s="23" t="s">
        <v>15</v>
      </c>
      <c r="G178" s="23" t="s">
        <v>218</v>
      </c>
      <c r="H178" s="23" t="s">
        <v>725</v>
      </c>
      <c r="I178" s="67" t="s">
        <v>192</v>
      </c>
      <c r="J178" s="67" t="s">
        <v>1024</v>
      </c>
      <c r="K178" s="21" t="s">
        <v>222</v>
      </c>
      <c r="L178" s="21" t="s">
        <v>818</v>
      </c>
      <c r="M178" s="21"/>
      <c r="N178" s="89"/>
      <c r="O178" s="89"/>
      <c r="P178" s="89"/>
      <c r="Q178" s="87"/>
      <c r="R178" s="87"/>
      <c r="S178" s="87"/>
      <c r="T178" s="87"/>
      <c r="U178" s="87"/>
      <c r="V178" s="87"/>
      <c r="W178" s="87"/>
    </row>
    <row r="179" spans="1:23" x14ac:dyDescent="0.25">
      <c r="A179" s="23" t="s">
        <v>118</v>
      </c>
      <c r="B179" s="32">
        <v>24.2</v>
      </c>
      <c r="C179" s="22">
        <v>0.43</v>
      </c>
      <c r="D179" s="32">
        <f t="shared" si="9"/>
        <v>24.63</v>
      </c>
      <c r="E179" s="34">
        <v>12</v>
      </c>
      <c r="F179" s="23" t="s">
        <v>15</v>
      </c>
      <c r="G179" s="23" t="s">
        <v>218</v>
      </c>
      <c r="H179" s="23" t="s">
        <v>725</v>
      </c>
      <c r="I179" s="67" t="s">
        <v>192</v>
      </c>
      <c r="J179" s="67" t="s">
        <v>1024</v>
      </c>
      <c r="K179" s="21" t="s">
        <v>222</v>
      </c>
      <c r="L179" s="21" t="s">
        <v>818</v>
      </c>
      <c r="M179" s="21"/>
      <c r="N179" s="89"/>
      <c r="O179" s="89"/>
      <c r="P179" s="89"/>
      <c r="Q179" s="87"/>
      <c r="R179" s="87"/>
      <c r="S179" s="87"/>
      <c r="T179" s="87"/>
      <c r="U179" s="87"/>
      <c r="V179" s="87"/>
      <c r="W179" s="87"/>
    </row>
    <row r="180" spans="1:23" x14ac:dyDescent="0.25">
      <c r="A180" s="23" t="s">
        <v>118</v>
      </c>
      <c r="B180" s="32">
        <v>40</v>
      </c>
      <c r="C180" s="22" t="s">
        <v>731</v>
      </c>
      <c r="D180" s="22">
        <f t="shared" si="9"/>
        <v>40</v>
      </c>
      <c r="E180" s="34">
        <v>5</v>
      </c>
      <c r="F180" s="23" t="s">
        <v>12</v>
      </c>
      <c r="G180" s="23" t="s">
        <v>218</v>
      </c>
      <c r="H180" s="23" t="s">
        <v>13</v>
      </c>
      <c r="I180" s="67" t="s">
        <v>193</v>
      </c>
      <c r="J180" s="67" t="s">
        <v>1064</v>
      </c>
      <c r="K180" s="21" t="s">
        <v>222</v>
      </c>
      <c r="L180" s="21" t="s">
        <v>818</v>
      </c>
      <c r="M180" s="21"/>
      <c r="N180" s="89"/>
      <c r="O180" s="89"/>
      <c r="P180" s="89"/>
      <c r="Q180" s="87"/>
      <c r="R180" s="87"/>
      <c r="S180" s="87"/>
      <c r="T180" s="87"/>
      <c r="U180" s="87"/>
      <c r="V180" s="87"/>
      <c r="W180" s="87"/>
    </row>
    <row r="181" spans="1:23" x14ac:dyDescent="0.25">
      <c r="A181" s="23" t="s">
        <v>118</v>
      </c>
      <c r="B181" s="32">
        <v>16</v>
      </c>
      <c r="C181" s="22" t="s">
        <v>731</v>
      </c>
      <c r="D181" s="22">
        <f t="shared" si="9"/>
        <v>16</v>
      </c>
      <c r="E181" s="34">
        <v>5</v>
      </c>
      <c r="F181" s="23" t="s">
        <v>36</v>
      </c>
      <c r="G181" s="23" t="s">
        <v>218</v>
      </c>
      <c r="H181" s="23" t="s">
        <v>13</v>
      </c>
      <c r="I181" s="67" t="s">
        <v>193</v>
      </c>
      <c r="J181" s="67" t="s">
        <v>1064</v>
      </c>
      <c r="K181" s="21" t="s">
        <v>222</v>
      </c>
      <c r="L181" s="21" t="s">
        <v>818</v>
      </c>
      <c r="M181" s="21"/>
      <c r="N181" s="89"/>
      <c r="O181" s="89"/>
      <c r="P181" s="89"/>
      <c r="Q181" s="87"/>
      <c r="R181" s="87"/>
      <c r="S181" s="87"/>
      <c r="T181" s="87"/>
      <c r="U181" s="87"/>
      <c r="V181" s="87"/>
      <c r="W181" s="87"/>
    </row>
    <row r="182" spans="1:23" x14ac:dyDescent="0.25">
      <c r="A182" s="23" t="s">
        <v>118</v>
      </c>
      <c r="B182" s="32">
        <v>8</v>
      </c>
      <c r="C182" s="22" t="s">
        <v>731</v>
      </c>
      <c r="D182" s="22">
        <f t="shared" si="9"/>
        <v>8</v>
      </c>
      <c r="E182" s="34">
        <v>5</v>
      </c>
      <c r="F182" s="23" t="s">
        <v>36</v>
      </c>
      <c r="G182" s="23" t="s">
        <v>218</v>
      </c>
      <c r="H182" s="23" t="s">
        <v>13</v>
      </c>
      <c r="I182" s="67" t="s">
        <v>193</v>
      </c>
      <c r="J182" s="67" t="s">
        <v>1064</v>
      </c>
      <c r="K182" s="21" t="s">
        <v>222</v>
      </c>
      <c r="L182" s="21" t="s">
        <v>818</v>
      </c>
      <c r="M182" s="21"/>
      <c r="N182" s="89"/>
      <c r="O182" s="89"/>
      <c r="P182" s="89"/>
      <c r="Q182" s="87"/>
      <c r="R182" s="87"/>
      <c r="S182" s="87"/>
      <c r="T182" s="87"/>
      <c r="U182" s="87"/>
      <c r="V182" s="87"/>
      <c r="W182" s="87"/>
    </row>
    <row r="183" spans="1:23" x14ac:dyDescent="0.25">
      <c r="A183" s="23" t="s">
        <v>118</v>
      </c>
      <c r="B183" s="32">
        <v>2</v>
      </c>
      <c r="C183" s="22" t="s">
        <v>731</v>
      </c>
      <c r="D183" s="22">
        <f t="shared" si="9"/>
        <v>2</v>
      </c>
      <c r="E183" s="34">
        <v>5</v>
      </c>
      <c r="F183" s="23" t="s">
        <v>36</v>
      </c>
      <c r="G183" s="23" t="s">
        <v>218</v>
      </c>
      <c r="H183" s="23" t="s">
        <v>13</v>
      </c>
      <c r="I183" s="67" t="s">
        <v>193</v>
      </c>
      <c r="J183" s="67" t="s">
        <v>1064</v>
      </c>
      <c r="K183" s="21" t="s">
        <v>222</v>
      </c>
      <c r="L183" s="21" t="s">
        <v>818</v>
      </c>
      <c r="M183" s="21"/>
      <c r="N183" s="89"/>
      <c r="O183" s="89"/>
      <c r="P183" s="89"/>
      <c r="Q183" s="87"/>
      <c r="R183" s="87"/>
      <c r="S183" s="87"/>
      <c r="T183" s="87"/>
      <c r="U183" s="87"/>
      <c r="V183" s="87"/>
      <c r="W183" s="87"/>
    </row>
    <row r="184" spans="1:23" x14ac:dyDescent="0.25">
      <c r="A184" s="23" t="s">
        <v>118</v>
      </c>
      <c r="B184" s="32">
        <v>38.4</v>
      </c>
      <c r="C184" s="32" t="s">
        <v>731</v>
      </c>
      <c r="D184" s="32">
        <f t="shared" si="9"/>
        <v>38.4</v>
      </c>
      <c r="E184" s="34">
        <v>12</v>
      </c>
      <c r="F184" s="23" t="s">
        <v>15</v>
      </c>
      <c r="G184" s="23" t="s">
        <v>218</v>
      </c>
      <c r="H184" s="23" t="s">
        <v>13</v>
      </c>
      <c r="I184" s="67" t="s">
        <v>194</v>
      </c>
      <c r="J184" s="65" t="s">
        <v>1162</v>
      </c>
      <c r="K184" s="21" t="s">
        <v>222</v>
      </c>
      <c r="L184" s="21" t="s">
        <v>818</v>
      </c>
      <c r="M184" s="21"/>
      <c r="N184" s="89"/>
      <c r="O184" s="89"/>
      <c r="P184" s="89"/>
      <c r="Q184" s="87"/>
      <c r="R184" s="87"/>
      <c r="S184" s="87"/>
      <c r="T184" s="87"/>
      <c r="U184" s="87"/>
      <c r="V184" s="87"/>
      <c r="W184" s="87"/>
    </row>
    <row r="185" spans="1:23" x14ac:dyDescent="0.25">
      <c r="A185" s="23" t="s">
        <v>118</v>
      </c>
      <c r="B185" s="32">
        <v>41.1</v>
      </c>
      <c r="C185" s="22" t="s">
        <v>731</v>
      </c>
      <c r="D185" s="33">
        <f t="shared" si="9"/>
        <v>41.1</v>
      </c>
      <c r="E185" s="34">
        <v>20</v>
      </c>
      <c r="F185" s="23" t="s">
        <v>12</v>
      </c>
      <c r="G185" s="23" t="s">
        <v>218</v>
      </c>
      <c r="H185" s="23" t="s">
        <v>13</v>
      </c>
      <c r="I185" s="67" t="s">
        <v>195</v>
      </c>
      <c r="J185" s="65" t="s">
        <v>1162</v>
      </c>
      <c r="K185" s="21" t="s">
        <v>222</v>
      </c>
      <c r="L185" s="21" t="s">
        <v>818</v>
      </c>
      <c r="M185" s="21"/>
      <c r="N185" s="89"/>
      <c r="O185" s="89"/>
      <c r="P185" s="89"/>
      <c r="Q185" s="87"/>
      <c r="R185" s="87"/>
      <c r="S185" s="87"/>
      <c r="T185" s="87"/>
      <c r="U185" s="87"/>
      <c r="V185" s="87"/>
      <c r="W185" s="87"/>
    </row>
    <row r="186" spans="1:23" x14ac:dyDescent="0.25">
      <c r="A186" s="23" t="s">
        <v>118</v>
      </c>
      <c r="B186" s="32">
        <v>59.9</v>
      </c>
      <c r="C186" s="22" t="s">
        <v>731</v>
      </c>
      <c r="D186" s="32">
        <f t="shared" si="9"/>
        <v>59.9</v>
      </c>
      <c r="E186" s="34">
        <v>6</v>
      </c>
      <c r="F186" s="23" t="s">
        <v>12</v>
      </c>
      <c r="G186" s="23" t="s">
        <v>220</v>
      </c>
      <c r="H186" s="23" t="s">
        <v>13</v>
      </c>
      <c r="I186" s="67" t="s">
        <v>196</v>
      </c>
      <c r="J186" s="67" t="s">
        <v>1066</v>
      </c>
      <c r="K186" s="21" t="s">
        <v>222</v>
      </c>
      <c r="L186" s="21" t="s">
        <v>818</v>
      </c>
      <c r="M186" s="21"/>
      <c r="N186" s="89"/>
      <c r="O186" s="89"/>
      <c r="P186" s="89"/>
      <c r="Q186" s="87"/>
      <c r="R186" s="87"/>
      <c r="S186" s="87"/>
      <c r="T186" s="87"/>
      <c r="U186" s="87"/>
      <c r="V186" s="87"/>
      <c r="W186" s="87"/>
    </row>
    <row r="187" spans="1:23" x14ac:dyDescent="0.25">
      <c r="A187" s="23" t="s">
        <v>118</v>
      </c>
      <c r="B187" s="32">
        <f>119.48/200*100</f>
        <v>59.74</v>
      </c>
      <c r="C187" s="22" t="s">
        <v>731</v>
      </c>
      <c r="D187" s="32">
        <f t="shared" si="9"/>
        <v>59.74</v>
      </c>
      <c r="E187" s="34">
        <v>12</v>
      </c>
      <c r="F187" s="23" t="s">
        <v>12</v>
      </c>
      <c r="G187" s="23" t="s">
        <v>220</v>
      </c>
      <c r="H187" s="23" t="s">
        <v>13</v>
      </c>
      <c r="I187" s="67" t="s">
        <v>197</v>
      </c>
      <c r="J187" s="67" t="s">
        <v>1065</v>
      </c>
      <c r="K187" s="21" t="s">
        <v>222</v>
      </c>
      <c r="L187" s="21" t="s">
        <v>818</v>
      </c>
      <c r="M187" s="21"/>
      <c r="N187" s="89"/>
      <c r="O187" s="89"/>
      <c r="P187" s="89"/>
      <c r="Q187" s="87"/>
      <c r="R187" s="87"/>
      <c r="S187" s="87"/>
      <c r="T187" s="87"/>
      <c r="U187" s="87"/>
      <c r="V187" s="87"/>
      <c r="W187" s="87"/>
    </row>
    <row r="188" spans="1:23" x14ac:dyDescent="0.25">
      <c r="A188" s="23" t="s">
        <v>118</v>
      </c>
      <c r="B188" s="38">
        <f>83.77/200*100</f>
        <v>41.884999999999998</v>
      </c>
      <c r="C188" s="22">
        <f>100-69</f>
        <v>31</v>
      </c>
      <c r="D188" s="38">
        <f t="shared" si="9"/>
        <v>72.884999999999991</v>
      </c>
      <c r="E188" s="34">
        <v>12</v>
      </c>
      <c r="F188" s="23" t="s">
        <v>12</v>
      </c>
      <c r="G188" s="23" t="s">
        <v>218</v>
      </c>
      <c r="H188" s="23" t="s">
        <v>13</v>
      </c>
      <c r="I188" s="67" t="s">
        <v>197</v>
      </c>
      <c r="J188" s="67" t="s">
        <v>1065</v>
      </c>
      <c r="K188" s="21" t="s">
        <v>222</v>
      </c>
      <c r="L188" s="21" t="s">
        <v>818</v>
      </c>
      <c r="M188" s="21" t="s">
        <v>1067</v>
      </c>
      <c r="N188" s="89"/>
      <c r="O188" s="89"/>
      <c r="P188" s="89"/>
      <c r="Q188" s="87"/>
      <c r="R188" s="87"/>
      <c r="S188" s="87"/>
      <c r="T188" s="87"/>
      <c r="U188" s="87"/>
      <c r="V188" s="87"/>
      <c r="W188" s="87"/>
    </row>
    <row r="189" spans="1:23" x14ac:dyDescent="0.25">
      <c r="A189" s="23" t="s">
        <v>118</v>
      </c>
      <c r="B189" s="32">
        <f>((29.7+8.6)+(28.5+10.7))/2</f>
        <v>38.75</v>
      </c>
      <c r="C189" s="32" t="s">
        <v>731</v>
      </c>
      <c r="D189" s="33">
        <f t="shared" si="9"/>
        <v>38.75</v>
      </c>
      <c r="E189" s="34">
        <v>10</v>
      </c>
      <c r="F189" s="23" t="s">
        <v>12</v>
      </c>
      <c r="G189" s="23" t="s">
        <v>218</v>
      </c>
      <c r="H189" s="23" t="s">
        <v>13</v>
      </c>
      <c r="I189" s="67" t="s">
        <v>198</v>
      </c>
      <c r="J189" s="67" t="s">
        <v>1021</v>
      </c>
      <c r="K189" s="21" t="s">
        <v>222</v>
      </c>
      <c r="L189" s="21" t="s">
        <v>818</v>
      </c>
      <c r="M189" s="21" t="s">
        <v>1019</v>
      </c>
      <c r="N189" s="89"/>
      <c r="O189" s="89"/>
      <c r="P189" s="89"/>
      <c r="Q189" s="87"/>
      <c r="R189" s="87"/>
      <c r="S189" s="87"/>
      <c r="T189" s="87"/>
      <c r="U189" s="87"/>
      <c r="V189" s="87"/>
      <c r="W189" s="87"/>
    </row>
    <row r="190" spans="1:23" x14ac:dyDescent="0.25">
      <c r="A190" s="23" t="s">
        <v>118</v>
      </c>
      <c r="B190" s="46">
        <f>(14.6+20)</f>
        <v>34.6</v>
      </c>
      <c r="C190" s="32" t="s">
        <v>731</v>
      </c>
      <c r="D190" s="33">
        <f t="shared" si="9"/>
        <v>34.6</v>
      </c>
      <c r="E190" s="34">
        <v>6</v>
      </c>
      <c r="F190" s="23" t="s">
        <v>15</v>
      </c>
      <c r="G190" s="23" t="s">
        <v>218</v>
      </c>
      <c r="H190" s="23" t="s">
        <v>13</v>
      </c>
      <c r="I190" s="67" t="s">
        <v>198</v>
      </c>
      <c r="J190" s="67" t="s">
        <v>1021</v>
      </c>
      <c r="K190" s="21" t="s">
        <v>222</v>
      </c>
      <c r="L190" s="21" t="s">
        <v>818</v>
      </c>
      <c r="M190" s="21" t="s">
        <v>1020</v>
      </c>
      <c r="N190" s="90"/>
      <c r="O190" s="90"/>
      <c r="P190" s="90"/>
      <c r="Q190" s="87"/>
      <c r="R190" s="87"/>
      <c r="S190" s="87"/>
      <c r="T190" s="87"/>
      <c r="U190" s="87"/>
      <c r="V190" s="87"/>
      <c r="W190" s="87"/>
    </row>
    <row r="191" spans="1:23" x14ac:dyDescent="0.25">
      <c r="A191" s="23" t="s">
        <v>118</v>
      </c>
      <c r="B191" s="46">
        <v>29.5</v>
      </c>
      <c r="C191" s="32" t="s">
        <v>731</v>
      </c>
      <c r="D191" s="32">
        <f t="shared" si="9"/>
        <v>29.5</v>
      </c>
      <c r="E191" s="34">
        <v>12</v>
      </c>
      <c r="F191" s="23" t="s">
        <v>12</v>
      </c>
      <c r="G191" s="23" t="s">
        <v>218</v>
      </c>
      <c r="H191" s="23" t="s">
        <v>13</v>
      </c>
      <c r="I191" s="67" t="s">
        <v>199</v>
      </c>
      <c r="J191" s="67" t="s">
        <v>1011</v>
      </c>
      <c r="K191" s="21" t="s">
        <v>222</v>
      </c>
      <c r="L191" s="21" t="s">
        <v>818</v>
      </c>
      <c r="M191" s="21" t="s">
        <v>1012</v>
      </c>
      <c r="N191" s="90">
        <v>1.1000000000000001</v>
      </c>
      <c r="O191" s="90"/>
      <c r="P191" s="90"/>
      <c r="Q191" s="87"/>
      <c r="R191" s="87"/>
      <c r="S191" s="87"/>
      <c r="T191" s="87"/>
      <c r="U191" s="87"/>
      <c r="V191" s="87"/>
      <c r="W191" s="87"/>
    </row>
    <row r="192" spans="1:23" x14ac:dyDescent="0.25">
      <c r="A192" s="23" t="s">
        <v>118</v>
      </c>
      <c r="B192" s="32">
        <v>57.4</v>
      </c>
      <c r="C192" s="32" t="s">
        <v>731</v>
      </c>
      <c r="D192" s="32">
        <f t="shared" si="9"/>
        <v>57.4</v>
      </c>
      <c r="E192" s="34">
        <v>12</v>
      </c>
      <c r="F192" s="23" t="s">
        <v>12</v>
      </c>
      <c r="G192" s="23" t="s">
        <v>220</v>
      </c>
      <c r="H192" s="23" t="s">
        <v>13</v>
      </c>
      <c r="I192" s="67" t="s">
        <v>199</v>
      </c>
      <c r="J192" s="67" t="s">
        <v>1011</v>
      </c>
      <c r="K192" s="21" t="s">
        <v>222</v>
      </c>
      <c r="L192" s="21" t="s">
        <v>818</v>
      </c>
      <c r="M192" s="21" t="s">
        <v>1012</v>
      </c>
      <c r="N192" s="89">
        <v>1.3</v>
      </c>
      <c r="O192" s="89"/>
      <c r="P192" s="89"/>
      <c r="Q192" s="87"/>
      <c r="R192" s="87"/>
      <c r="S192" s="87"/>
      <c r="T192" s="87"/>
      <c r="U192" s="87"/>
      <c r="V192" s="87"/>
      <c r="W192" s="87"/>
    </row>
    <row r="193" spans="1:23" x14ac:dyDescent="0.25">
      <c r="A193" s="23" t="s">
        <v>118</v>
      </c>
      <c r="B193" s="32">
        <v>29</v>
      </c>
      <c r="C193" s="32" t="s">
        <v>731</v>
      </c>
      <c r="D193" s="32">
        <f t="shared" si="9"/>
        <v>29</v>
      </c>
      <c r="E193" s="34">
        <v>12</v>
      </c>
      <c r="F193" s="23" t="s">
        <v>12</v>
      </c>
      <c r="G193" s="23" t="s">
        <v>218</v>
      </c>
      <c r="H193" s="23" t="s">
        <v>13</v>
      </c>
      <c r="I193" s="67" t="s">
        <v>199</v>
      </c>
      <c r="J193" s="67" t="s">
        <v>1011</v>
      </c>
      <c r="K193" s="21" t="s">
        <v>222</v>
      </c>
      <c r="L193" s="21" t="s">
        <v>818</v>
      </c>
      <c r="M193" s="21" t="s">
        <v>1013</v>
      </c>
      <c r="N193" s="89">
        <v>1</v>
      </c>
      <c r="O193" s="89"/>
      <c r="P193" s="89"/>
      <c r="Q193" s="87"/>
      <c r="R193" s="87"/>
      <c r="S193" s="87"/>
      <c r="T193" s="87"/>
      <c r="U193" s="87"/>
      <c r="V193" s="87"/>
      <c r="W193" s="87"/>
    </row>
    <row r="194" spans="1:23" x14ac:dyDescent="0.25">
      <c r="A194" s="23" t="s">
        <v>118</v>
      </c>
      <c r="B194" s="22">
        <v>53.2</v>
      </c>
      <c r="C194" s="32" t="s">
        <v>731</v>
      </c>
      <c r="D194" s="32">
        <f t="shared" si="9"/>
        <v>53.2</v>
      </c>
      <c r="E194" s="34">
        <v>12</v>
      </c>
      <c r="F194" s="23" t="s">
        <v>12</v>
      </c>
      <c r="G194" s="23" t="s">
        <v>220</v>
      </c>
      <c r="H194" s="23" t="s">
        <v>13</v>
      </c>
      <c r="I194" s="67" t="s">
        <v>199</v>
      </c>
      <c r="J194" s="67" t="s">
        <v>1011</v>
      </c>
      <c r="K194" s="21" t="s">
        <v>222</v>
      </c>
      <c r="L194" s="21" t="s">
        <v>818</v>
      </c>
      <c r="M194" s="21" t="s">
        <v>1013</v>
      </c>
      <c r="N194" s="87">
        <v>1.5</v>
      </c>
      <c r="O194" s="87"/>
      <c r="P194" s="87"/>
      <c r="Q194" s="89"/>
      <c r="R194" s="87"/>
      <c r="S194" s="87"/>
      <c r="T194" s="87"/>
      <c r="U194" s="87"/>
      <c r="V194" s="87"/>
      <c r="W194" s="87"/>
    </row>
    <row r="195" spans="1:23" x14ac:dyDescent="0.25">
      <c r="A195" s="23" t="s">
        <v>118</v>
      </c>
      <c r="B195" s="22">
        <f>(33.6+27.6)/2</f>
        <v>30.6</v>
      </c>
      <c r="C195" s="32" t="s">
        <v>731</v>
      </c>
      <c r="D195" s="32">
        <f t="shared" si="9"/>
        <v>30.6</v>
      </c>
      <c r="E195" s="34">
        <v>20</v>
      </c>
      <c r="F195" s="23" t="s">
        <v>12</v>
      </c>
      <c r="G195" s="23" t="s">
        <v>218</v>
      </c>
      <c r="H195" s="23" t="s">
        <v>13</v>
      </c>
      <c r="I195" s="67" t="s">
        <v>199</v>
      </c>
      <c r="J195" s="67" t="s">
        <v>1011</v>
      </c>
      <c r="K195" s="21" t="s">
        <v>222</v>
      </c>
      <c r="L195" s="21" t="s">
        <v>818</v>
      </c>
      <c r="M195" s="21" t="s">
        <v>1014</v>
      </c>
      <c r="N195" s="87">
        <f>(1.3+5.5+4.6)/2</f>
        <v>5.6999999999999993</v>
      </c>
      <c r="O195" s="87"/>
      <c r="P195" s="87"/>
      <c r="Q195" s="89"/>
      <c r="R195" s="87"/>
      <c r="S195" s="87"/>
      <c r="T195" s="87"/>
      <c r="U195" s="87"/>
      <c r="V195" s="87"/>
      <c r="W195" s="87"/>
    </row>
    <row r="196" spans="1:23" x14ac:dyDescent="0.25">
      <c r="A196" s="23" t="s">
        <v>118</v>
      </c>
      <c r="B196" s="22">
        <v>54.3</v>
      </c>
      <c r="C196" s="32" t="s">
        <v>731</v>
      </c>
      <c r="D196" s="32">
        <f t="shared" si="9"/>
        <v>54.3</v>
      </c>
      <c r="E196" s="34">
        <v>10</v>
      </c>
      <c r="F196" s="23" t="s">
        <v>12</v>
      </c>
      <c r="G196" s="23" t="s">
        <v>220</v>
      </c>
      <c r="H196" s="23" t="s">
        <v>13</v>
      </c>
      <c r="I196" s="67" t="s">
        <v>199</v>
      </c>
      <c r="J196" s="67" t="s">
        <v>1011</v>
      </c>
      <c r="K196" s="21" t="s">
        <v>222</v>
      </c>
      <c r="L196" s="21" t="s">
        <v>818</v>
      </c>
      <c r="M196" s="21" t="s">
        <v>1015</v>
      </c>
      <c r="N196" s="87">
        <v>1.3</v>
      </c>
      <c r="O196" s="87"/>
      <c r="P196" s="87"/>
      <c r="Q196" s="89"/>
      <c r="R196" s="87"/>
      <c r="S196" s="87"/>
      <c r="T196" s="87"/>
      <c r="U196" s="87"/>
      <c r="V196" s="87"/>
      <c r="W196" s="87"/>
    </row>
    <row r="197" spans="1:23" x14ac:dyDescent="0.25">
      <c r="A197" s="23" t="s">
        <v>118</v>
      </c>
      <c r="B197" s="22">
        <v>25.5</v>
      </c>
      <c r="C197" s="32" t="s">
        <v>731</v>
      </c>
      <c r="D197" s="32">
        <f t="shared" si="9"/>
        <v>25.5</v>
      </c>
      <c r="E197" s="34">
        <v>10</v>
      </c>
      <c r="F197" s="23" t="s">
        <v>12</v>
      </c>
      <c r="G197" s="23" t="s">
        <v>218</v>
      </c>
      <c r="H197" s="23" t="s">
        <v>13</v>
      </c>
      <c r="I197" s="67" t="s">
        <v>199</v>
      </c>
      <c r="J197" s="67" t="s">
        <v>1011</v>
      </c>
      <c r="K197" s="21" t="s">
        <v>222</v>
      </c>
      <c r="L197" s="21" t="s">
        <v>818</v>
      </c>
      <c r="M197" s="21" t="s">
        <v>1016</v>
      </c>
      <c r="N197" s="87">
        <f>0.6+3.5</f>
        <v>4.0999999999999996</v>
      </c>
      <c r="O197" s="87"/>
      <c r="P197" s="87"/>
      <c r="Q197" s="89"/>
      <c r="R197" s="87"/>
      <c r="S197" s="87"/>
      <c r="T197" s="87"/>
      <c r="U197" s="87"/>
      <c r="V197" s="87"/>
      <c r="W197" s="87"/>
    </row>
    <row r="198" spans="1:23" x14ac:dyDescent="0.25">
      <c r="A198" s="23" t="s">
        <v>118</v>
      </c>
      <c r="B198" s="22">
        <v>26.8</v>
      </c>
      <c r="C198" s="32" t="s">
        <v>731</v>
      </c>
      <c r="D198" s="32">
        <f t="shared" si="9"/>
        <v>26.8</v>
      </c>
      <c r="E198" s="34">
        <v>10</v>
      </c>
      <c r="F198" s="23" t="s">
        <v>12</v>
      </c>
      <c r="G198" s="23" t="s">
        <v>218</v>
      </c>
      <c r="H198" s="23" t="s">
        <v>13</v>
      </c>
      <c r="I198" s="67" t="s">
        <v>199</v>
      </c>
      <c r="J198" s="67" t="s">
        <v>1011</v>
      </c>
      <c r="K198" s="21" t="s">
        <v>222</v>
      </c>
      <c r="L198" s="21" t="s">
        <v>818</v>
      </c>
      <c r="M198" s="21" t="s">
        <v>1017</v>
      </c>
      <c r="N198" s="87">
        <v>0.8</v>
      </c>
      <c r="O198" s="87"/>
      <c r="P198" s="87"/>
      <c r="Q198" s="89"/>
      <c r="R198" s="87"/>
      <c r="S198" s="87"/>
      <c r="T198" s="87"/>
      <c r="U198" s="87"/>
      <c r="V198" s="87"/>
      <c r="W198" s="87"/>
    </row>
    <row r="199" spans="1:23" x14ac:dyDescent="0.25">
      <c r="A199" s="23" t="s">
        <v>118</v>
      </c>
      <c r="B199" s="22">
        <v>42.2</v>
      </c>
      <c r="C199" s="32" t="s">
        <v>731</v>
      </c>
      <c r="D199" s="33">
        <f t="shared" si="9"/>
        <v>42.2</v>
      </c>
      <c r="E199" s="34">
        <v>12</v>
      </c>
      <c r="F199" s="23" t="s">
        <v>12</v>
      </c>
      <c r="G199" s="23" t="s">
        <v>220</v>
      </c>
      <c r="H199" s="23" t="s">
        <v>13</v>
      </c>
      <c r="I199" s="67" t="s">
        <v>200</v>
      </c>
      <c r="J199" s="67" t="s">
        <v>1010</v>
      </c>
      <c r="K199" s="21" t="s">
        <v>222</v>
      </c>
      <c r="L199" s="21" t="s">
        <v>818</v>
      </c>
      <c r="M199" s="21"/>
      <c r="N199" s="87"/>
      <c r="O199" s="87"/>
      <c r="P199" s="87"/>
      <c r="Q199" s="87"/>
      <c r="R199" s="87"/>
      <c r="S199" s="89">
        <v>4.5</v>
      </c>
      <c r="T199" s="87"/>
      <c r="U199" s="87"/>
      <c r="V199" s="87"/>
      <c r="W199" s="87"/>
    </row>
    <row r="200" spans="1:23" x14ac:dyDescent="0.25">
      <c r="A200" s="23" t="s">
        <v>118</v>
      </c>
      <c r="B200" s="32">
        <f>(15+30+28+30)/4</f>
        <v>25.75</v>
      </c>
      <c r="C200" s="32">
        <f>100-83.7</f>
        <v>16.299999999999997</v>
      </c>
      <c r="D200" s="32">
        <f t="shared" si="9"/>
        <v>42.05</v>
      </c>
      <c r="E200" s="34">
        <v>12</v>
      </c>
      <c r="F200" s="23" t="s">
        <v>12</v>
      </c>
      <c r="G200" s="23" t="s">
        <v>218</v>
      </c>
      <c r="H200" s="23" t="s">
        <v>725</v>
      </c>
      <c r="I200" s="67" t="s">
        <v>200</v>
      </c>
      <c r="J200" s="67" t="s">
        <v>1010</v>
      </c>
      <c r="K200" s="21" t="s">
        <v>222</v>
      </c>
      <c r="L200" s="21" t="s">
        <v>818</v>
      </c>
      <c r="M200" s="21"/>
      <c r="N200" s="89"/>
      <c r="O200" s="89"/>
      <c r="P200" s="89"/>
      <c r="Q200" s="87"/>
      <c r="R200" s="87"/>
      <c r="S200" s="87"/>
      <c r="T200" s="87"/>
      <c r="U200" s="87"/>
      <c r="V200" s="87"/>
      <c r="W200" s="87"/>
    </row>
    <row r="201" spans="1:23" x14ac:dyDescent="0.25">
      <c r="A201" s="23" t="s">
        <v>118</v>
      </c>
      <c r="B201" s="32">
        <v>25.7</v>
      </c>
      <c r="C201" s="22" t="s">
        <v>731</v>
      </c>
      <c r="D201" s="32">
        <f t="shared" si="9"/>
        <v>25.7</v>
      </c>
      <c r="E201" s="34">
        <v>10</v>
      </c>
      <c r="F201" s="23" t="s">
        <v>15</v>
      </c>
      <c r="G201" s="23" t="s">
        <v>218</v>
      </c>
      <c r="H201" s="23" t="s">
        <v>13</v>
      </c>
      <c r="I201" s="67" t="s">
        <v>201</v>
      </c>
      <c r="J201" s="67" t="s">
        <v>1068</v>
      </c>
      <c r="K201" s="21" t="s">
        <v>222</v>
      </c>
      <c r="L201" s="21" t="s">
        <v>818</v>
      </c>
      <c r="M201" s="21"/>
      <c r="N201" s="89"/>
      <c r="O201" s="89"/>
      <c r="P201" s="89"/>
      <c r="Q201" s="87"/>
      <c r="R201" s="87"/>
      <c r="S201" s="87"/>
      <c r="T201" s="87"/>
      <c r="U201" s="87"/>
      <c r="V201" s="87"/>
      <c r="W201" s="87"/>
    </row>
    <row r="202" spans="1:23" x14ac:dyDescent="0.25">
      <c r="A202" s="23" t="s">
        <v>118</v>
      </c>
      <c r="B202" s="32">
        <v>27.8</v>
      </c>
      <c r="C202" s="32" t="s">
        <v>731</v>
      </c>
      <c r="D202" s="32">
        <f t="shared" si="9"/>
        <v>27.8</v>
      </c>
      <c r="E202" s="34">
        <v>12</v>
      </c>
      <c r="F202" s="23" t="s">
        <v>12</v>
      </c>
      <c r="G202" s="23" t="s">
        <v>218</v>
      </c>
      <c r="H202" s="23" t="s">
        <v>13</v>
      </c>
      <c r="I202" s="67" t="s">
        <v>202</v>
      </c>
      <c r="J202" s="67" t="s">
        <v>1009</v>
      </c>
      <c r="K202" s="21" t="s">
        <v>222</v>
      </c>
      <c r="L202" s="21" t="s">
        <v>818</v>
      </c>
      <c r="M202" s="21"/>
      <c r="N202" s="89"/>
      <c r="O202" s="89"/>
      <c r="P202" s="89"/>
      <c r="Q202" s="87"/>
      <c r="R202" s="87"/>
      <c r="S202" s="87"/>
      <c r="T202" s="87"/>
      <c r="U202" s="87"/>
      <c r="V202" s="87"/>
      <c r="W202" s="87"/>
    </row>
    <row r="203" spans="1:23" x14ac:dyDescent="0.25">
      <c r="A203" s="23" t="s">
        <v>118</v>
      </c>
      <c r="B203" s="32">
        <v>42.5</v>
      </c>
      <c r="C203" s="32" t="s">
        <v>731</v>
      </c>
      <c r="D203" s="32">
        <f t="shared" si="9"/>
        <v>42.5</v>
      </c>
      <c r="E203" s="34">
        <v>12</v>
      </c>
      <c r="F203" s="23" t="s">
        <v>12</v>
      </c>
      <c r="G203" s="23" t="s">
        <v>218</v>
      </c>
      <c r="H203" s="23" t="s">
        <v>13</v>
      </c>
      <c r="I203" s="67" t="s">
        <v>202</v>
      </c>
      <c r="J203" s="67" t="s">
        <v>1009</v>
      </c>
      <c r="K203" s="21" t="s">
        <v>222</v>
      </c>
      <c r="L203" s="21" t="s">
        <v>818</v>
      </c>
      <c r="M203" s="21"/>
      <c r="N203" s="89"/>
      <c r="O203" s="89"/>
      <c r="P203" s="89"/>
      <c r="Q203" s="87"/>
      <c r="R203" s="87"/>
      <c r="S203" s="87"/>
      <c r="T203" s="87"/>
      <c r="U203" s="87"/>
      <c r="V203" s="87"/>
      <c r="W203" s="87"/>
    </row>
    <row r="204" spans="1:23" x14ac:dyDescent="0.25">
      <c r="A204" s="23" t="s">
        <v>118</v>
      </c>
      <c r="B204" s="32">
        <f>AVERAGE(36.4,44,39.5,28.5)</f>
        <v>37.1</v>
      </c>
      <c r="C204" s="22" t="s">
        <v>731</v>
      </c>
      <c r="D204" s="22">
        <f t="shared" si="9"/>
        <v>37.1</v>
      </c>
      <c r="E204" s="34">
        <v>12</v>
      </c>
      <c r="F204" s="23" t="s">
        <v>12</v>
      </c>
      <c r="G204" s="23" t="s">
        <v>218</v>
      </c>
      <c r="H204" s="23" t="s">
        <v>13</v>
      </c>
      <c r="I204" s="67" t="s">
        <v>203</v>
      </c>
      <c r="J204" s="67" t="s">
        <v>1069</v>
      </c>
      <c r="K204" s="21" t="s">
        <v>222</v>
      </c>
      <c r="L204" s="21" t="s">
        <v>818</v>
      </c>
      <c r="M204" s="21"/>
      <c r="N204" s="89"/>
      <c r="O204" s="89"/>
      <c r="P204" s="89"/>
      <c r="Q204" s="87"/>
      <c r="R204" s="87"/>
      <c r="S204" s="87"/>
      <c r="T204" s="87"/>
      <c r="U204" s="87"/>
      <c r="V204" s="87"/>
      <c r="W204" s="87"/>
    </row>
    <row r="205" spans="1:23" x14ac:dyDescent="0.25">
      <c r="A205" s="23" t="s">
        <v>118</v>
      </c>
      <c r="B205" s="32">
        <v>38.299999999999997</v>
      </c>
      <c r="C205" s="32" t="s">
        <v>731</v>
      </c>
      <c r="D205" s="33">
        <f t="shared" si="9"/>
        <v>38.299999999999997</v>
      </c>
      <c r="E205" s="34">
        <v>12</v>
      </c>
      <c r="F205" s="23" t="s">
        <v>15</v>
      </c>
      <c r="G205" s="23" t="s">
        <v>218</v>
      </c>
      <c r="H205" s="23" t="s">
        <v>13</v>
      </c>
      <c r="I205" s="67" t="s">
        <v>204</v>
      </c>
      <c r="J205" s="67" t="s">
        <v>1070</v>
      </c>
      <c r="K205" s="21" t="s">
        <v>222</v>
      </c>
      <c r="L205" s="21" t="s">
        <v>818</v>
      </c>
      <c r="M205" s="21"/>
      <c r="N205" s="89"/>
      <c r="O205" s="89"/>
      <c r="P205" s="89"/>
      <c r="Q205" s="87"/>
      <c r="R205" s="87"/>
      <c r="S205" s="87"/>
      <c r="T205" s="87"/>
      <c r="U205" s="87"/>
      <c r="V205" s="87"/>
      <c r="W205" s="87"/>
    </row>
    <row r="206" spans="1:23" x14ac:dyDescent="0.25">
      <c r="A206" s="23" t="s">
        <v>118</v>
      </c>
      <c r="B206" s="32">
        <v>35.700000000000003</v>
      </c>
      <c r="C206" s="32" t="s">
        <v>731</v>
      </c>
      <c r="D206" s="33">
        <f t="shared" si="9"/>
        <v>35.700000000000003</v>
      </c>
      <c r="E206" s="34">
        <v>11</v>
      </c>
      <c r="F206" s="23" t="s">
        <v>12</v>
      </c>
      <c r="G206" s="23" t="s">
        <v>218</v>
      </c>
      <c r="H206" s="23" t="s">
        <v>13</v>
      </c>
      <c r="I206" s="67" t="s">
        <v>204</v>
      </c>
      <c r="J206" s="67" t="s">
        <v>1070</v>
      </c>
      <c r="K206" s="21" t="s">
        <v>222</v>
      </c>
      <c r="L206" s="21" t="s">
        <v>818</v>
      </c>
      <c r="M206" s="21"/>
      <c r="N206" s="89"/>
      <c r="O206" s="89"/>
      <c r="P206" s="89"/>
      <c r="Q206" s="87"/>
      <c r="R206" s="87"/>
      <c r="S206" s="87"/>
      <c r="T206" s="87"/>
      <c r="U206" s="87"/>
      <c r="V206" s="87"/>
      <c r="W206" s="87"/>
    </row>
    <row r="207" spans="1:23" x14ac:dyDescent="0.25">
      <c r="A207" s="23" t="s">
        <v>118</v>
      </c>
      <c r="B207" s="32">
        <v>30.6</v>
      </c>
      <c r="C207" s="22" t="s">
        <v>731</v>
      </c>
      <c r="D207" s="22">
        <f t="shared" si="9"/>
        <v>30.6</v>
      </c>
      <c r="E207" s="34">
        <v>6</v>
      </c>
      <c r="F207" s="23" t="s">
        <v>12</v>
      </c>
      <c r="G207" s="23" t="s">
        <v>218</v>
      </c>
      <c r="H207" s="23" t="s">
        <v>13</v>
      </c>
      <c r="I207" s="67" t="s">
        <v>205</v>
      </c>
      <c r="J207" s="67" t="s">
        <v>1028</v>
      </c>
      <c r="K207" s="21" t="s">
        <v>222</v>
      </c>
      <c r="L207" s="21" t="s">
        <v>818</v>
      </c>
      <c r="M207" s="21"/>
      <c r="N207" s="89"/>
      <c r="O207" s="89"/>
      <c r="P207" s="89"/>
      <c r="Q207" s="87"/>
      <c r="R207" s="87"/>
      <c r="S207" s="87"/>
      <c r="T207" s="87"/>
      <c r="U207" s="87"/>
      <c r="V207" s="87"/>
      <c r="W207" s="87"/>
    </row>
    <row r="208" spans="1:23" x14ac:dyDescent="0.25">
      <c r="A208" s="23" t="s">
        <v>118</v>
      </c>
      <c r="B208" s="32">
        <v>75.7</v>
      </c>
      <c r="C208" s="22" t="s">
        <v>731</v>
      </c>
      <c r="D208" s="22">
        <f t="shared" si="9"/>
        <v>75.7</v>
      </c>
      <c r="E208" s="34">
        <v>6</v>
      </c>
      <c r="F208" s="23" t="s">
        <v>12</v>
      </c>
      <c r="G208" s="23" t="s">
        <v>220</v>
      </c>
      <c r="H208" s="23" t="s">
        <v>13</v>
      </c>
      <c r="I208" s="67" t="s">
        <v>205</v>
      </c>
      <c r="J208" s="67" t="s">
        <v>1028</v>
      </c>
      <c r="K208" s="21" t="s">
        <v>222</v>
      </c>
      <c r="L208" s="21" t="s">
        <v>818</v>
      </c>
      <c r="M208" s="21"/>
      <c r="N208" s="89"/>
      <c r="O208" s="89"/>
      <c r="P208" s="89"/>
      <c r="Q208" s="87"/>
      <c r="R208" s="87"/>
      <c r="S208" s="87"/>
      <c r="T208" s="87"/>
      <c r="U208" s="87"/>
      <c r="V208" s="87"/>
      <c r="W208" s="87"/>
    </row>
    <row r="209" spans="1:23" x14ac:dyDescent="0.25">
      <c r="A209" s="23" t="s">
        <v>118</v>
      </c>
      <c r="B209" s="32">
        <v>52.6</v>
      </c>
      <c r="C209" s="22" t="s">
        <v>731</v>
      </c>
      <c r="D209" s="32">
        <f t="shared" si="9"/>
        <v>52.6</v>
      </c>
      <c r="E209" s="34">
        <v>18</v>
      </c>
      <c r="F209" s="23" t="s">
        <v>12</v>
      </c>
      <c r="G209" s="23" t="s">
        <v>218</v>
      </c>
      <c r="H209" s="23" t="s">
        <v>13</v>
      </c>
      <c r="I209" s="67" t="s">
        <v>206</v>
      </c>
      <c r="J209" s="67" t="s">
        <v>1071</v>
      </c>
      <c r="K209" s="21" t="s">
        <v>222</v>
      </c>
      <c r="L209" s="21" t="s">
        <v>818</v>
      </c>
      <c r="M209" s="21"/>
      <c r="N209" s="89"/>
      <c r="O209" s="89"/>
      <c r="P209" s="89"/>
      <c r="Q209" s="87"/>
      <c r="R209" s="87"/>
      <c r="S209" s="87"/>
      <c r="T209" s="87"/>
      <c r="U209" s="87"/>
      <c r="V209" s="87"/>
      <c r="W209" s="87"/>
    </row>
    <row r="210" spans="1:23" x14ac:dyDescent="0.25">
      <c r="A210" s="23" t="s">
        <v>118</v>
      </c>
      <c r="B210" s="32">
        <v>37</v>
      </c>
      <c r="C210" s="32" t="s">
        <v>731</v>
      </c>
      <c r="D210" s="32">
        <f t="shared" si="9"/>
        <v>37</v>
      </c>
      <c r="E210" s="34">
        <v>6</v>
      </c>
      <c r="F210" s="23" t="s">
        <v>12</v>
      </c>
      <c r="G210" s="23" t="s">
        <v>218</v>
      </c>
      <c r="H210" s="23" t="s">
        <v>13</v>
      </c>
      <c r="I210" s="67" t="s">
        <v>207</v>
      </c>
      <c r="J210" s="67" t="s">
        <v>1072</v>
      </c>
      <c r="K210" s="21" t="s">
        <v>222</v>
      </c>
      <c r="L210" s="21" t="s">
        <v>818</v>
      </c>
      <c r="M210" s="21"/>
      <c r="N210" s="89"/>
      <c r="O210" s="89"/>
      <c r="P210" s="89"/>
      <c r="Q210" s="87"/>
      <c r="R210" s="87"/>
      <c r="S210" s="87"/>
      <c r="T210" s="87"/>
      <c r="U210" s="87"/>
      <c r="V210" s="87"/>
      <c r="W210" s="87"/>
    </row>
    <row r="211" spans="1:23" x14ac:dyDescent="0.25">
      <c r="A211" s="23" t="s">
        <v>118</v>
      </c>
      <c r="B211" s="32">
        <v>5.3</v>
      </c>
      <c r="C211" s="32" t="s">
        <v>731</v>
      </c>
      <c r="D211" s="32">
        <f t="shared" si="9"/>
        <v>5.3</v>
      </c>
      <c r="E211" s="34">
        <v>6</v>
      </c>
      <c r="F211" s="23" t="s">
        <v>36</v>
      </c>
      <c r="G211" s="23" t="s">
        <v>218</v>
      </c>
      <c r="H211" s="23" t="s">
        <v>13</v>
      </c>
      <c r="I211" s="67" t="s">
        <v>207</v>
      </c>
      <c r="J211" s="67" t="s">
        <v>1072</v>
      </c>
      <c r="K211" s="21" t="s">
        <v>222</v>
      </c>
      <c r="L211" s="21" t="s">
        <v>818</v>
      </c>
      <c r="M211" s="21"/>
      <c r="N211" s="89"/>
      <c r="O211" s="89"/>
      <c r="P211" s="97"/>
      <c r="Q211" s="87"/>
      <c r="R211" s="87"/>
      <c r="S211" s="87"/>
      <c r="T211" s="87"/>
      <c r="U211" s="87"/>
      <c r="V211" s="87"/>
      <c r="W211" s="87"/>
    </row>
    <row r="212" spans="1:23" x14ac:dyDescent="0.25">
      <c r="A212" s="23" t="s">
        <v>118</v>
      </c>
      <c r="B212" s="32" t="s">
        <v>731</v>
      </c>
      <c r="C212" s="32">
        <v>5.3</v>
      </c>
      <c r="D212" s="32" t="s">
        <v>731</v>
      </c>
      <c r="E212" s="34">
        <v>12</v>
      </c>
      <c r="F212" s="23" t="s">
        <v>15</v>
      </c>
      <c r="G212" s="23" t="s">
        <v>218</v>
      </c>
      <c r="H212" s="23" t="s">
        <v>59</v>
      </c>
      <c r="I212" s="67" t="s">
        <v>208</v>
      </c>
      <c r="J212" s="65" t="s">
        <v>1162</v>
      </c>
      <c r="K212" s="21" t="s">
        <v>222</v>
      </c>
      <c r="L212" s="21" t="s">
        <v>818</v>
      </c>
      <c r="M212" s="21"/>
      <c r="N212" s="89"/>
      <c r="O212" s="89"/>
      <c r="P212" s="89"/>
      <c r="Q212" s="87"/>
      <c r="R212" s="87"/>
      <c r="S212" s="87"/>
      <c r="T212" s="87"/>
      <c r="U212" s="87"/>
      <c r="V212" s="87"/>
      <c r="W212" s="87"/>
    </row>
    <row r="213" spans="1:23" x14ac:dyDescent="0.25">
      <c r="A213" s="23" t="s">
        <v>118</v>
      </c>
      <c r="B213" s="47">
        <v>30.1</v>
      </c>
      <c r="C213" s="22" t="s">
        <v>731</v>
      </c>
      <c r="D213" s="32">
        <f t="shared" ref="D213:D232" si="10">SUM(B213:C213)</f>
        <v>30.1</v>
      </c>
      <c r="E213" s="34">
        <v>40</v>
      </c>
      <c r="F213" s="23" t="s">
        <v>12</v>
      </c>
      <c r="G213" s="23" t="s">
        <v>218</v>
      </c>
      <c r="H213" s="23" t="s">
        <v>13</v>
      </c>
      <c r="I213" s="67" t="s">
        <v>209</v>
      </c>
      <c r="J213" s="67" t="s">
        <v>1073</v>
      </c>
      <c r="K213" s="21" t="s">
        <v>222</v>
      </c>
      <c r="L213" s="21" t="s">
        <v>818</v>
      </c>
      <c r="M213" s="21" t="s">
        <v>1074</v>
      </c>
      <c r="N213" s="97"/>
      <c r="O213" s="97"/>
      <c r="P213" s="87"/>
      <c r="Q213" s="87"/>
      <c r="R213" s="87"/>
      <c r="S213" s="87"/>
      <c r="T213" s="87"/>
      <c r="U213" s="87"/>
      <c r="V213" s="87"/>
      <c r="W213" s="87"/>
    </row>
    <row r="214" spans="1:23" x14ac:dyDescent="0.25">
      <c r="A214" s="23" t="s">
        <v>118</v>
      </c>
      <c r="B214" s="32">
        <v>40</v>
      </c>
      <c r="C214" s="22" t="s">
        <v>731</v>
      </c>
      <c r="D214" s="32">
        <f t="shared" si="10"/>
        <v>40</v>
      </c>
      <c r="E214" s="34">
        <v>40</v>
      </c>
      <c r="F214" s="23" t="s">
        <v>12</v>
      </c>
      <c r="G214" s="23" t="s">
        <v>218</v>
      </c>
      <c r="H214" s="23" t="s">
        <v>13</v>
      </c>
      <c r="I214" s="67" t="s">
        <v>209</v>
      </c>
      <c r="J214" s="67" t="s">
        <v>1073</v>
      </c>
      <c r="K214" s="21" t="s">
        <v>222</v>
      </c>
      <c r="L214" s="21" t="s">
        <v>818</v>
      </c>
      <c r="M214" s="21" t="s">
        <v>1075</v>
      </c>
      <c r="N214" s="89"/>
      <c r="O214" s="89"/>
      <c r="P214" s="89"/>
      <c r="Q214" s="87"/>
      <c r="R214" s="87"/>
      <c r="S214" s="87"/>
      <c r="T214" s="87"/>
      <c r="U214" s="87"/>
      <c r="V214" s="87"/>
      <c r="W214" s="87"/>
    </row>
    <row r="215" spans="1:23" x14ac:dyDescent="0.25">
      <c r="A215" s="23" t="s">
        <v>118</v>
      </c>
      <c r="B215" s="32">
        <v>35.299999999999997</v>
      </c>
      <c r="C215" s="22" t="s">
        <v>731</v>
      </c>
      <c r="D215" s="32">
        <f t="shared" si="10"/>
        <v>35.299999999999997</v>
      </c>
      <c r="E215" s="34">
        <v>12</v>
      </c>
      <c r="F215" s="23" t="s">
        <v>12</v>
      </c>
      <c r="G215" s="23" t="s">
        <v>218</v>
      </c>
      <c r="H215" s="23" t="s">
        <v>13</v>
      </c>
      <c r="I215" s="67" t="s">
        <v>210</v>
      </c>
      <c r="J215" s="67" t="s">
        <v>1030</v>
      </c>
      <c r="K215" s="21" t="s">
        <v>222</v>
      </c>
      <c r="L215" s="21" t="s">
        <v>818</v>
      </c>
      <c r="M215" s="21"/>
      <c r="N215" s="89"/>
      <c r="O215" s="89"/>
      <c r="P215" s="89"/>
      <c r="Q215" s="89"/>
      <c r="R215" s="89"/>
      <c r="S215" s="87"/>
      <c r="T215" s="87"/>
      <c r="U215" s="87"/>
      <c r="V215" s="87"/>
      <c r="W215" s="87"/>
    </row>
    <row r="216" spans="1:23" x14ac:dyDescent="0.25">
      <c r="A216" s="23" t="s">
        <v>118</v>
      </c>
      <c r="B216" s="32">
        <v>57.4</v>
      </c>
      <c r="C216" s="32" t="s">
        <v>731</v>
      </c>
      <c r="D216" s="32">
        <f t="shared" si="10"/>
        <v>57.4</v>
      </c>
      <c r="E216" s="34">
        <v>12</v>
      </c>
      <c r="F216" s="23" t="s">
        <v>12</v>
      </c>
      <c r="G216" s="23" t="s">
        <v>220</v>
      </c>
      <c r="H216" s="23" t="s">
        <v>13</v>
      </c>
      <c r="I216" s="67" t="s">
        <v>210</v>
      </c>
      <c r="J216" s="67" t="s">
        <v>1030</v>
      </c>
      <c r="K216" s="21" t="s">
        <v>222</v>
      </c>
      <c r="L216" s="21" t="s">
        <v>818</v>
      </c>
      <c r="M216" s="21"/>
      <c r="N216" s="89"/>
      <c r="O216" s="89"/>
      <c r="P216" s="89"/>
      <c r="Q216" s="89">
        <v>10.199999999999999</v>
      </c>
      <c r="R216" s="89">
        <v>14.1</v>
      </c>
      <c r="S216" s="87"/>
      <c r="T216" s="87"/>
      <c r="U216" s="87"/>
      <c r="V216" s="87"/>
      <c r="W216" s="87"/>
    </row>
    <row r="217" spans="1:23" x14ac:dyDescent="0.25">
      <c r="A217" s="23" t="s">
        <v>118</v>
      </c>
      <c r="B217" s="32">
        <v>61.6</v>
      </c>
      <c r="C217" s="22" t="s">
        <v>731</v>
      </c>
      <c r="D217" s="32">
        <f t="shared" si="10"/>
        <v>61.6</v>
      </c>
      <c r="E217" s="34">
        <v>12</v>
      </c>
      <c r="F217" s="23" t="s">
        <v>12</v>
      </c>
      <c r="G217" s="23" t="s">
        <v>220</v>
      </c>
      <c r="H217" s="23" t="s">
        <v>13</v>
      </c>
      <c r="I217" s="67" t="s">
        <v>210</v>
      </c>
      <c r="J217" s="67" t="s">
        <v>1030</v>
      </c>
      <c r="K217" s="21" t="s">
        <v>222</v>
      </c>
      <c r="L217" s="21" t="s">
        <v>818</v>
      </c>
      <c r="M217" s="21"/>
      <c r="N217" s="89"/>
      <c r="O217" s="89"/>
      <c r="P217" s="89"/>
      <c r="Q217" s="89"/>
      <c r="R217" s="89"/>
      <c r="S217" s="87"/>
      <c r="T217" s="87"/>
      <c r="U217" s="87"/>
      <c r="V217" s="87"/>
      <c r="W217" s="87"/>
    </row>
    <row r="218" spans="1:23" x14ac:dyDescent="0.25">
      <c r="A218" s="23" t="s">
        <v>118</v>
      </c>
      <c r="B218" s="32">
        <v>29.5</v>
      </c>
      <c r="C218" s="22" t="s">
        <v>731</v>
      </c>
      <c r="D218" s="32">
        <f t="shared" si="10"/>
        <v>29.5</v>
      </c>
      <c r="E218" s="34">
        <v>12</v>
      </c>
      <c r="F218" s="23" t="s">
        <v>12</v>
      </c>
      <c r="G218" s="23" t="s">
        <v>218</v>
      </c>
      <c r="H218" s="23" t="s">
        <v>13</v>
      </c>
      <c r="I218" s="67" t="s">
        <v>210</v>
      </c>
      <c r="J218" s="67" t="s">
        <v>1030</v>
      </c>
      <c r="K218" s="21" t="s">
        <v>222</v>
      </c>
      <c r="L218" s="21" t="s">
        <v>818</v>
      </c>
      <c r="M218" s="21"/>
      <c r="N218" s="89"/>
      <c r="O218" s="89"/>
      <c r="P218" s="89"/>
      <c r="Q218" s="89">
        <v>9.1</v>
      </c>
      <c r="R218" s="89">
        <v>12.9</v>
      </c>
      <c r="S218" s="87"/>
      <c r="T218" s="87"/>
      <c r="U218" s="87"/>
      <c r="V218" s="87"/>
      <c r="W218" s="87"/>
    </row>
    <row r="219" spans="1:23" x14ac:dyDescent="0.25">
      <c r="A219" s="23" t="s">
        <v>118</v>
      </c>
      <c r="B219" s="32">
        <f>(49+43)/2</f>
        <v>46</v>
      </c>
      <c r="C219" s="32" t="s">
        <v>731</v>
      </c>
      <c r="D219" s="32">
        <f t="shared" si="10"/>
        <v>46</v>
      </c>
      <c r="E219" s="34">
        <f>2*12</f>
        <v>24</v>
      </c>
      <c r="F219" s="23" t="s">
        <v>12</v>
      </c>
      <c r="G219" s="23" t="s">
        <v>218</v>
      </c>
      <c r="H219" s="23" t="s">
        <v>13</v>
      </c>
      <c r="I219" s="67" t="s">
        <v>211</v>
      </c>
      <c r="J219" s="67" t="s">
        <v>1031</v>
      </c>
      <c r="K219" s="21" t="s">
        <v>222</v>
      </c>
      <c r="L219" s="21" t="s">
        <v>818</v>
      </c>
      <c r="M219" s="21"/>
      <c r="N219" s="89"/>
      <c r="O219" s="89"/>
      <c r="P219" s="89"/>
      <c r="Q219" s="89"/>
      <c r="R219" s="89"/>
      <c r="S219" s="87"/>
      <c r="T219" s="87"/>
      <c r="U219" s="87"/>
      <c r="V219" s="87"/>
      <c r="W219" s="87"/>
    </row>
    <row r="220" spans="1:23" x14ac:dyDescent="0.25">
      <c r="A220" s="23" t="s">
        <v>118</v>
      </c>
      <c r="B220" s="32">
        <v>42.7</v>
      </c>
      <c r="C220" s="22" t="s">
        <v>731</v>
      </c>
      <c r="D220" s="32">
        <f t="shared" si="10"/>
        <v>42.7</v>
      </c>
      <c r="E220" s="34">
        <v>9</v>
      </c>
      <c r="F220" s="23" t="s">
        <v>12</v>
      </c>
      <c r="G220" s="23" t="s">
        <v>218</v>
      </c>
      <c r="H220" s="23" t="s">
        <v>13</v>
      </c>
      <c r="I220" s="67" t="s">
        <v>212</v>
      </c>
      <c r="J220" s="67" t="s">
        <v>1029</v>
      </c>
      <c r="K220" s="21" t="s">
        <v>222</v>
      </c>
      <c r="L220" s="21" t="s">
        <v>818</v>
      </c>
      <c r="M220" s="21"/>
      <c r="N220" s="89"/>
      <c r="O220" s="89"/>
      <c r="P220" s="89"/>
      <c r="Q220" s="89"/>
      <c r="R220" s="89"/>
      <c r="S220" s="87"/>
      <c r="T220" s="87"/>
      <c r="U220" s="87"/>
      <c r="V220" s="87"/>
      <c r="W220" s="87"/>
    </row>
    <row r="221" spans="1:23" x14ac:dyDescent="0.25">
      <c r="A221" s="23" t="s">
        <v>118</v>
      </c>
      <c r="B221" s="32">
        <v>44.6</v>
      </c>
      <c r="C221" s="22" t="s">
        <v>731</v>
      </c>
      <c r="D221" s="32">
        <f t="shared" si="10"/>
        <v>44.6</v>
      </c>
      <c r="E221" s="34">
        <v>9</v>
      </c>
      <c r="F221" s="23" t="s">
        <v>12</v>
      </c>
      <c r="G221" s="23" t="s">
        <v>218</v>
      </c>
      <c r="H221" s="23" t="s">
        <v>13</v>
      </c>
      <c r="I221" s="67" t="s">
        <v>212</v>
      </c>
      <c r="J221" s="67" t="s">
        <v>1029</v>
      </c>
      <c r="K221" s="21" t="s">
        <v>222</v>
      </c>
      <c r="L221" s="21" t="s">
        <v>818</v>
      </c>
      <c r="M221" s="21"/>
      <c r="N221" s="89"/>
      <c r="O221" s="89"/>
      <c r="P221" s="89"/>
      <c r="Q221" s="89"/>
      <c r="R221" s="89"/>
      <c r="S221" s="87"/>
      <c r="T221" s="87"/>
      <c r="U221" s="87"/>
      <c r="V221" s="87"/>
      <c r="W221" s="87"/>
    </row>
    <row r="222" spans="1:23" x14ac:dyDescent="0.25">
      <c r="A222" s="23" t="s">
        <v>118</v>
      </c>
      <c r="B222" s="32">
        <v>38.6</v>
      </c>
      <c r="C222" s="32" t="s">
        <v>731</v>
      </c>
      <c r="D222" s="32">
        <f t="shared" si="10"/>
        <v>38.6</v>
      </c>
      <c r="E222" s="34">
        <v>12</v>
      </c>
      <c r="F222" s="23" t="s">
        <v>12</v>
      </c>
      <c r="G222" s="23" t="s">
        <v>218</v>
      </c>
      <c r="H222" s="23" t="s">
        <v>13</v>
      </c>
      <c r="I222" s="67" t="s">
        <v>213</v>
      </c>
      <c r="J222" s="67" t="s">
        <v>1023</v>
      </c>
      <c r="K222" s="21" t="s">
        <v>222</v>
      </c>
      <c r="L222" s="21" t="s">
        <v>818</v>
      </c>
      <c r="M222" s="21"/>
      <c r="N222" s="89"/>
      <c r="O222" s="89"/>
      <c r="P222" s="89"/>
      <c r="Q222" s="89"/>
      <c r="R222" s="89"/>
      <c r="S222" s="87"/>
      <c r="T222" s="87"/>
      <c r="U222" s="87"/>
      <c r="V222" s="87"/>
      <c r="W222" s="87"/>
    </row>
    <row r="223" spans="1:23" x14ac:dyDescent="0.25">
      <c r="A223" s="23" t="s">
        <v>118</v>
      </c>
      <c r="B223" s="32">
        <v>46</v>
      </c>
      <c r="C223" s="32" t="s">
        <v>731</v>
      </c>
      <c r="D223" s="32">
        <f t="shared" si="10"/>
        <v>46</v>
      </c>
      <c r="E223" s="34">
        <v>12</v>
      </c>
      <c r="F223" s="23" t="s">
        <v>12</v>
      </c>
      <c r="G223" s="23" t="s">
        <v>218</v>
      </c>
      <c r="H223" s="23" t="s">
        <v>13</v>
      </c>
      <c r="I223" s="67" t="s">
        <v>213</v>
      </c>
      <c r="J223" s="67" t="s">
        <v>1023</v>
      </c>
      <c r="K223" s="21" t="s">
        <v>222</v>
      </c>
      <c r="L223" s="21" t="s">
        <v>818</v>
      </c>
      <c r="M223" s="21"/>
      <c r="N223" s="89"/>
      <c r="O223" s="89"/>
      <c r="P223" s="89"/>
      <c r="Q223" s="89"/>
      <c r="R223" s="89"/>
      <c r="S223" s="87"/>
      <c r="T223" s="87"/>
      <c r="U223" s="87"/>
      <c r="V223" s="87"/>
      <c r="W223" s="87"/>
    </row>
    <row r="224" spans="1:23" x14ac:dyDescent="0.25">
      <c r="A224" s="23" t="s">
        <v>118</v>
      </c>
      <c r="B224" s="32">
        <v>79.599999999999994</v>
      </c>
      <c r="C224" s="22" t="s">
        <v>731</v>
      </c>
      <c r="D224" s="22">
        <f t="shared" si="10"/>
        <v>79.599999999999994</v>
      </c>
      <c r="E224" s="34">
        <v>6</v>
      </c>
      <c r="F224" s="23" t="s">
        <v>12</v>
      </c>
      <c r="G224" s="23" t="s">
        <v>220</v>
      </c>
      <c r="H224" s="23" t="s">
        <v>13</v>
      </c>
      <c r="I224" s="67" t="s">
        <v>214</v>
      </c>
      <c r="J224" s="67" t="s">
        <v>1027</v>
      </c>
      <c r="K224" s="21" t="s">
        <v>222</v>
      </c>
      <c r="L224" s="21" t="s">
        <v>818</v>
      </c>
      <c r="M224" s="21"/>
      <c r="N224" s="89"/>
      <c r="O224" s="89"/>
      <c r="P224" s="89"/>
      <c r="Q224" s="89"/>
      <c r="R224" s="89"/>
      <c r="S224" s="87"/>
      <c r="T224" s="87"/>
      <c r="U224" s="87"/>
      <c r="V224" s="87"/>
      <c r="W224" s="87"/>
    </row>
    <row r="225" spans="1:23" x14ac:dyDescent="0.25">
      <c r="A225" s="23" t="s">
        <v>118</v>
      </c>
      <c r="B225" s="32">
        <v>46</v>
      </c>
      <c r="C225" s="22" t="s">
        <v>731</v>
      </c>
      <c r="D225" s="22">
        <f t="shared" si="10"/>
        <v>46</v>
      </c>
      <c r="E225" s="34">
        <v>6</v>
      </c>
      <c r="F225" s="23" t="s">
        <v>12</v>
      </c>
      <c r="G225" s="23" t="s">
        <v>220</v>
      </c>
      <c r="H225" s="23" t="s">
        <v>13</v>
      </c>
      <c r="I225" s="67" t="s">
        <v>215</v>
      </c>
      <c r="J225" s="68" t="s">
        <v>1026</v>
      </c>
      <c r="K225" s="21" t="s">
        <v>222</v>
      </c>
      <c r="L225" s="21" t="s">
        <v>818</v>
      </c>
      <c r="M225" s="21"/>
      <c r="N225" s="89"/>
      <c r="O225" s="89"/>
      <c r="P225" s="89"/>
      <c r="Q225" s="89"/>
      <c r="R225" s="89"/>
      <c r="S225" s="87"/>
      <c r="T225" s="87"/>
      <c r="U225" s="87"/>
      <c r="V225" s="87"/>
      <c r="W225" s="87"/>
    </row>
    <row r="226" spans="1:23" x14ac:dyDescent="0.25">
      <c r="A226" s="23" t="s">
        <v>118</v>
      </c>
      <c r="B226" s="32">
        <v>61</v>
      </c>
      <c r="C226" s="22" t="s">
        <v>731</v>
      </c>
      <c r="D226" s="22">
        <f t="shared" si="10"/>
        <v>61</v>
      </c>
      <c r="E226" s="34">
        <v>6</v>
      </c>
      <c r="F226" s="23" t="s">
        <v>12</v>
      </c>
      <c r="G226" s="23" t="s">
        <v>220</v>
      </c>
      <c r="H226" s="23" t="s">
        <v>13</v>
      </c>
      <c r="I226" s="67" t="s">
        <v>215</v>
      </c>
      <c r="J226" s="67" t="s">
        <v>1026</v>
      </c>
      <c r="K226" s="21" t="s">
        <v>222</v>
      </c>
      <c r="L226" s="21" t="s">
        <v>818</v>
      </c>
      <c r="M226" s="21"/>
      <c r="N226" s="89"/>
      <c r="O226" s="89"/>
      <c r="P226" s="89"/>
      <c r="Q226" s="89"/>
      <c r="R226" s="89"/>
      <c r="S226" s="87"/>
      <c r="T226" s="87"/>
      <c r="U226" s="87"/>
      <c r="V226" s="87"/>
      <c r="W226" s="87"/>
    </row>
    <row r="227" spans="1:23" x14ac:dyDescent="0.25">
      <c r="A227" s="23" t="s">
        <v>118</v>
      </c>
      <c r="B227" s="32">
        <v>27</v>
      </c>
      <c r="C227" s="22" t="s">
        <v>731</v>
      </c>
      <c r="D227" s="22">
        <f t="shared" si="10"/>
        <v>27</v>
      </c>
      <c r="E227" s="34">
        <v>6</v>
      </c>
      <c r="F227" s="23" t="s">
        <v>12</v>
      </c>
      <c r="G227" s="23" t="s">
        <v>218</v>
      </c>
      <c r="H227" s="23" t="s">
        <v>13</v>
      </c>
      <c r="I227" s="67" t="s">
        <v>215</v>
      </c>
      <c r="J227" s="67" t="s">
        <v>1026</v>
      </c>
      <c r="K227" s="21" t="s">
        <v>222</v>
      </c>
      <c r="L227" s="21" t="s">
        <v>818</v>
      </c>
      <c r="M227" s="21"/>
      <c r="N227" s="89"/>
      <c r="O227" s="89"/>
      <c r="P227" s="89"/>
      <c r="Q227" s="89"/>
      <c r="R227" s="89"/>
      <c r="S227" s="87"/>
      <c r="T227" s="87"/>
      <c r="U227" s="87"/>
      <c r="V227" s="87"/>
      <c r="W227" s="87"/>
    </row>
    <row r="228" spans="1:23" x14ac:dyDescent="0.25">
      <c r="A228" s="23" t="s">
        <v>118</v>
      </c>
      <c r="B228" s="32">
        <v>35</v>
      </c>
      <c r="C228" s="22" t="s">
        <v>731</v>
      </c>
      <c r="D228" s="22">
        <f t="shared" si="10"/>
        <v>35</v>
      </c>
      <c r="E228" s="34">
        <v>6</v>
      </c>
      <c r="F228" s="23" t="s">
        <v>12</v>
      </c>
      <c r="G228" s="23" t="s">
        <v>218</v>
      </c>
      <c r="H228" s="23" t="s">
        <v>13</v>
      </c>
      <c r="I228" s="67" t="s">
        <v>215</v>
      </c>
      <c r="J228" s="67" t="s">
        <v>1026</v>
      </c>
      <c r="K228" s="21" t="s">
        <v>222</v>
      </c>
      <c r="L228" s="21" t="s">
        <v>818</v>
      </c>
      <c r="M228" s="21"/>
      <c r="N228" s="89"/>
      <c r="O228" s="89"/>
      <c r="P228" s="89"/>
      <c r="Q228" s="89"/>
      <c r="R228" s="89"/>
      <c r="S228" s="87"/>
      <c r="T228" s="87"/>
      <c r="U228" s="87"/>
      <c r="V228" s="87"/>
      <c r="W228" s="87"/>
    </row>
    <row r="229" spans="1:23" x14ac:dyDescent="0.25">
      <c r="A229" s="23" t="s">
        <v>118</v>
      </c>
      <c r="B229" s="32">
        <v>25</v>
      </c>
      <c r="C229" s="22" t="s">
        <v>731</v>
      </c>
      <c r="D229" s="32">
        <f t="shared" si="10"/>
        <v>25</v>
      </c>
      <c r="E229" s="34">
        <v>16</v>
      </c>
      <c r="F229" s="23" t="s">
        <v>12</v>
      </c>
      <c r="G229" s="23" t="s">
        <v>218</v>
      </c>
      <c r="H229" s="23" t="s">
        <v>13</v>
      </c>
      <c r="I229" s="67" t="s">
        <v>216</v>
      </c>
      <c r="J229" s="67" t="s">
        <v>1076</v>
      </c>
      <c r="K229" s="21" t="s">
        <v>222</v>
      </c>
      <c r="L229" s="21" t="s">
        <v>818</v>
      </c>
      <c r="M229" s="21"/>
      <c r="N229" s="89"/>
      <c r="O229" s="89"/>
      <c r="P229" s="89"/>
      <c r="Q229" s="89"/>
      <c r="R229" s="89"/>
      <c r="S229" s="87"/>
      <c r="T229" s="87"/>
      <c r="U229" s="87"/>
      <c r="V229" s="87"/>
      <c r="W229" s="87"/>
    </row>
    <row r="230" spans="1:23" x14ac:dyDescent="0.25">
      <c r="A230" s="23" t="s">
        <v>118</v>
      </c>
      <c r="B230" s="32">
        <v>30.6</v>
      </c>
      <c r="C230" s="32" t="s">
        <v>731</v>
      </c>
      <c r="D230" s="32">
        <f t="shared" si="10"/>
        <v>30.6</v>
      </c>
      <c r="E230" s="35">
        <v>6</v>
      </c>
      <c r="F230" s="23" t="s">
        <v>12</v>
      </c>
      <c r="G230" s="23" t="s">
        <v>730</v>
      </c>
      <c r="H230" s="23" t="s">
        <v>814</v>
      </c>
      <c r="I230" s="67" t="s">
        <v>223</v>
      </c>
      <c r="J230" s="67" t="s">
        <v>1077</v>
      </c>
      <c r="K230" s="21" t="s">
        <v>222</v>
      </c>
      <c r="L230" s="21" t="s">
        <v>818</v>
      </c>
      <c r="M230" s="21"/>
      <c r="N230" s="89"/>
      <c r="O230" s="89"/>
      <c r="P230" s="89"/>
      <c r="Q230" s="89" t="s">
        <v>217</v>
      </c>
      <c r="R230" s="89"/>
      <c r="S230" s="87"/>
      <c r="T230" s="87"/>
      <c r="U230" s="87"/>
      <c r="V230" s="87"/>
      <c r="W230" s="87"/>
    </row>
    <row r="231" spans="1:23" x14ac:dyDescent="0.25">
      <c r="A231" s="23" t="s">
        <v>118</v>
      </c>
      <c r="B231" s="32">
        <v>31.3</v>
      </c>
      <c r="C231" s="32" t="s">
        <v>731</v>
      </c>
      <c r="D231" s="32">
        <f t="shared" si="10"/>
        <v>31.3</v>
      </c>
      <c r="E231" s="35">
        <v>12</v>
      </c>
      <c r="F231" s="23" t="s">
        <v>12</v>
      </c>
      <c r="G231" s="23" t="s">
        <v>218</v>
      </c>
      <c r="H231" s="23" t="s">
        <v>13</v>
      </c>
      <c r="I231" s="67" t="s">
        <v>1080</v>
      </c>
      <c r="J231" s="67" t="s">
        <v>1081</v>
      </c>
      <c r="K231" s="21"/>
      <c r="L231" s="21"/>
      <c r="M231" s="21"/>
      <c r="N231" s="89"/>
      <c r="O231" s="89"/>
      <c r="P231" s="89"/>
      <c r="Q231" s="89"/>
      <c r="R231" s="89"/>
      <c r="S231" s="87"/>
      <c r="T231" s="87"/>
      <c r="U231" s="87"/>
      <c r="V231" s="87"/>
      <c r="W231" s="87"/>
    </row>
    <row r="232" spans="1:23" x14ac:dyDescent="0.25">
      <c r="A232" s="21" t="s">
        <v>118</v>
      </c>
      <c r="B232" s="33">
        <f>(40+65)/2</f>
        <v>52.5</v>
      </c>
      <c r="C232" s="33">
        <v>15</v>
      </c>
      <c r="D232" s="33">
        <f t="shared" si="10"/>
        <v>67.5</v>
      </c>
      <c r="E232" s="25">
        <v>1</v>
      </c>
      <c r="F232" s="21" t="s">
        <v>716</v>
      </c>
      <c r="G232" s="23" t="s">
        <v>220</v>
      </c>
      <c r="H232" s="23" t="s">
        <v>725</v>
      </c>
      <c r="I232" s="65" t="s">
        <v>767</v>
      </c>
      <c r="J232" s="65" t="s">
        <v>731</v>
      </c>
      <c r="K232" s="21" t="s">
        <v>917</v>
      </c>
      <c r="L232" s="21"/>
      <c r="M232" s="21" t="s">
        <v>915</v>
      </c>
      <c r="N232" s="98"/>
      <c r="O232" s="98"/>
      <c r="P232" s="98"/>
      <c r="Q232" s="87"/>
      <c r="R232" s="87"/>
      <c r="S232" s="87"/>
      <c r="T232" s="87"/>
      <c r="U232" s="87"/>
      <c r="V232" s="87"/>
      <c r="W232" s="87"/>
    </row>
    <row r="233" spans="1:23" x14ac:dyDescent="0.25">
      <c r="A233" s="21" t="s">
        <v>118</v>
      </c>
      <c r="B233" s="32" t="s">
        <v>731</v>
      </c>
      <c r="C233" s="32" t="s">
        <v>731</v>
      </c>
      <c r="D233" s="27">
        <v>50</v>
      </c>
      <c r="E233" s="25">
        <v>1</v>
      </c>
      <c r="F233" s="21" t="s">
        <v>716</v>
      </c>
      <c r="G233" s="21" t="s">
        <v>731</v>
      </c>
      <c r="H233" s="23" t="s">
        <v>725</v>
      </c>
      <c r="I233" s="65" t="s">
        <v>732</v>
      </c>
      <c r="J233" s="65" t="s">
        <v>733</v>
      </c>
      <c r="K233" s="21" t="s">
        <v>734</v>
      </c>
      <c r="L233" s="21" t="s">
        <v>733</v>
      </c>
      <c r="M233" s="21" t="s">
        <v>753</v>
      </c>
      <c r="N233" s="88"/>
      <c r="O233" s="88"/>
      <c r="P233" s="88"/>
      <c r="Q233" s="87"/>
      <c r="R233" s="87"/>
      <c r="S233" s="87"/>
      <c r="T233" s="87"/>
      <c r="U233" s="87"/>
      <c r="V233" s="87"/>
      <c r="W233" s="87">
        <v>50</v>
      </c>
    </row>
    <row r="234" spans="1:23" x14ac:dyDescent="0.25">
      <c r="A234" s="21" t="s">
        <v>118</v>
      </c>
      <c r="B234" s="22" t="s">
        <v>731</v>
      </c>
      <c r="C234" s="22" t="s">
        <v>731</v>
      </c>
      <c r="D234" s="22">
        <v>76</v>
      </c>
      <c r="E234" s="25">
        <v>1</v>
      </c>
      <c r="F234" s="21" t="s">
        <v>716</v>
      </c>
      <c r="G234" s="21" t="s">
        <v>731</v>
      </c>
      <c r="H234" s="23" t="s">
        <v>725</v>
      </c>
      <c r="I234" s="65" t="s">
        <v>788</v>
      </c>
      <c r="J234" s="65" t="s">
        <v>770</v>
      </c>
      <c r="K234" s="21" t="s">
        <v>808</v>
      </c>
      <c r="L234" s="21"/>
      <c r="M234" s="21" t="s">
        <v>803</v>
      </c>
      <c r="N234" s="87"/>
      <c r="O234" s="87"/>
      <c r="P234" s="87"/>
      <c r="Q234" s="87"/>
      <c r="R234" s="87"/>
      <c r="S234" s="87"/>
      <c r="T234" s="87"/>
      <c r="U234" s="87"/>
      <c r="V234" s="87"/>
      <c r="W234" s="87"/>
    </row>
    <row r="235" spans="1:23" x14ac:dyDescent="0.25">
      <c r="A235" s="21" t="s">
        <v>118</v>
      </c>
      <c r="B235" s="22" t="s">
        <v>731</v>
      </c>
      <c r="C235" s="22" t="s">
        <v>731</v>
      </c>
      <c r="D235" s="22">
        <v>20</v>
      </c>
      <c r="E235" s="25">
        <v>1</v>
      </c>
      <c r="F235" s="21" t="s">
        <v>716</v>
      </c>
      <c r="G235" s="21" t="s">
        <v>731</v>
      </c>
      <c r="H235" s="23" t="s">
        <v>725</v>
      </c>
      <c r="I235" s="65" t="s">
        <v>754</v>
      </c>
      <c r="J235" s="66" t="s">
        <v>736</v>
      </c>
      <c r="K235" s="21"/>
      <c r="L235" s="21"/>
      <c r="M235" s="21" t="s">
        <v>735</v>
      </c>
      <c r="N235" s="87"/>
      <c r="O235" s="87"/>
      <c r="P235" s="87"/>
      <c r="Q235" s="87"/>
      <c r="R235" s="87"/>
      <c r="S235" s="87"/>
      <c r="T235" s="87"/>
      <c r="U235" s="87"/>
      <c r="V235" s="87"/>
      <c r="W235" s="87"/>
    </row>
    <row r="236" spans="1:23" x14ac:dyDescent="0.25">
      <c r="A236" s="21" t="s">
        <v>118</v>
      </c>
      <c r="B236" s="22" t="s">
        <v>731</v>
      </c>
      <c r="C236" s="22">
        <v>40</v>
      </c>
      <c r="D236" s="22">
        <v>83.7</v>
      </c>
      <c r="E236" s="25">
        <v>1</v>
      </c>
      <c r="F236" s="21" t="s">
        <v>716</v>
      </c>
      <c r="G236" s="21" t="s">
        <v>731</v>
      </c>
      <c r="H236" s="23" t="s">
        <v>725</v>
      </c>
      <c r="I236" s="65" t="s">
        <v>739</v>
      </c>
      <c r="J236" s="65" t="s">
        <v>738</v>
      </c>
      <c r="K236" s="21"/>
      <c r="L236" s="21"/>
      <c r="M236" s="21" t="s">
        <v>962</v>
      </c>
      <c r="N236" s="87"/>
      <c r="O236" s="87"/>
      <c r="P236" s="87"/>
      <c r="Q236" s="87"/>
      <c r="R236" s="88"/>
      <c r="S236" s="87"/>
      <c r="T236" s="87"/>
      <c r="U236" s="87"/>
      <c r="V236" s="87"/>
      <c r="W236" s="87"/>
    </row>
    <row r="237" spans="1:23" x14ac:dyDescent="0.25">
      <c r="A237" s="26" t="s">
        <v>118</v>
      </c>
      <c r="B237" s="48">
        <v>40</v>
      </c>
      <c r="C237" s="22" t="s">
        <v>731</v>
      </c>
      <c r="D237" s="48">
        <v>40</v>
      </c>
      <c r="E237" s="25">
        <v>1</v>
      </c>
      <c r="F237" s="21" t="s">
        <v>716</v>
      </c>
      <c r="G237" s="21" t="s">
        <v>731</v>
      </c>
      <c r="H237" s="23" t="s">
        <v>725</v>
      </c>
      <c r="I237" s="65" t="s">
        <v>772</v>
      </c>
      <c r="J237" s="65" t="s">
        <v>771</v>
      </c>
      <c r="K237" s="21" t="s">
        <v>878</v>
      </c>
      <c r="L237" s="21"/>
      <c r="M237" s="21" t="s">
        <v>877</v>
      </c>
      <c r="N237" s="99"/>
      <c r="O237" s="99"/>
      <c r="P237" s="99"/>
      <c r="Q237" s="99"/>
      <c r="R237" s="87"/>
      <c r="S237" s="87"/>
      <c r="T237" s="87"/>
      <c r="U237" s="87"/>
      <c r="V237" s="87"/>
      <c r="W237" s="87"/>
    </row>
    <row r="238" spans="1:23" x14ac:dyDescent="0.25">
      <c r="A238" s="21" t="s">
        <v>118</v>
      </c>
      <c r="B238" s="22">
        <f>43.5</f>
        <v>43.5</v>
      </c>
      <c r="C238" s="22">
        <v>24</v>
      </c>
      <c r="D238" s="22">
        <f>SUM(B238:C238)</f>
        <v>67.5</v>
      </c>
      <c r="E238" s="25">
        <v>1</v>
      </c>
      <c r="F238" s="21" t="s">
        <v>716</v>
      </c>
      <c r="G238" s="21" t="s">
        <v>731</v>
      </c>
      <c r="H238" s="23" t="s">
        <v>725</v>
      </c>
      <c r="I238" s="65" t="s">
        <v>728</v>
      </c>
      <c r="J238" s="65" t="s">
        <v>729</v>
      </c>
      <c r="K238" s="21"/>
      <c r="L238" s="21"/>
      <c r="M238" s="21" t="s">
        <v>879</v>
      </c>
      <c r="N238" s="87"/>
      <c r="O238" s="87"/>
      <c r="P238" s="87"/>
      <c r="Q238" s="87">
        <v>10</v>
      </c>
      <c r="R238" s="87">
        <v>7</v>
      </c>
      <c r="S238" s="87"/>
      <c r="T238" s="87"/>
      <c r="U238" s="87"/>
      <c r="V238" s="87"/>
      <c r="W238" s="87"/>
    </row>
    <row r="239" spans="1:23" x14ac:dyDescent="0.25">
      <c r="A239" s="21" t="s">
        <v>118</v>
      </c>
      <c r="B239" s="22">
        <f>0.7*0.7*100</f>
        <v>48.999999999999993</v>
      </c>
      <c r="C239" s="22">
        <v>30</v>
      </c>
      <c r="D239" s="22">
        <f>SUM(B239:C239)</f>
        <v>79</v>
      </c>
      <c r="E239" s="25">
        <v>1</v>
      </c>
      <c r="F239" s="21" t="s">
        <v>716</v>
      </c>
      <c r="G239" s="21" t="s">
        <v>731</v>
      </c>
      <c r="H239" s="23" t="s">
        <v>725</v>
      </c>
      <c r="I239" s="65" t="s">
        <v>746</v>
      </c>
      <c r="J239" s="65" t="s">
        <v>745</v>
      </c>
      <c r="K239" s="21" t="s">
        <v>891</v>
      </c>
      <c r="L239" s="25" t="s">
        <v>770</v>
      </c>
      <c r="M239" s="21" t="s">
        <v>744</v>
      </c>
      <c r="N239" s="87"/>
      <c r="O239" s="87"/>
      <c r="P239" s="87"/>
      <c r="Q239" s="87"/>
      <c r="R239" s="87"/>
      <c r="S239" s="87"/>
      <c r="T239" s="87"/>
      <c r="U239" s="87"/>
      <c r="V239" s="87"/>
      <c r="W239" s="87"/>
    </row>
    <row r="240" spans="1:23" x14ac:dyDescent="0.25">
      <c r="A240" s="21" t="s">
        <v>118</v>
      </c>
      <c r="B240" s="22" t="s">
        <v>731</v>
      </c>
      <c r="C240" s="22" t="s">
        <v>731</v>
      </c>
      <c r="D240" s="22">
        <v>95</v>
      </c>
      <c r="E240" s="25">
        <v>1</v>
      </c>
      <c r="F240" s="21" t="s">
        <v>716</v>
      </c>
      <c r="G240" s="21" t="s">
        <v>731</v>
      </c>
      <c r="H240" s="23" t="s">
        <v>725</v>
      </c>
      <c r="I240" s="65" t="s">
        <v>749</v>
      </c>
      <c r="J240" s="65" t="s">
        <v>748</v>
      </c>
      <c r="K240" s="21" t="s">
        <v>764</v>
      </c>
      <c r="L240" s="21"/>
      <c r="M240" s="21" t="s">
        <v>747</v>
      </c>
      <c r="N240" s="87"/>
      <c r="O240" s="87"/>
      <c r="P240" s="87"/>
      <c r="Q240" s="87"/>
      <c r="R240" s="87"/>
      <c r="S240" s="87"/>
      <c r="T240" s="87"/>
      <c r="U240" s="87"/>
      <c r="V240" s="87"/>
      <c r="W240" s="87"/>
    </row>
    <row r="241" spans="1:23" x14ac:dyDescent="0.25">
      <c r="A241" s="21" t="s">
        <v>118</v>
      </c>
      <c r="B241" s="22">
        <v>55</v>
      </c>
      <c r="C241" s="22" t="s">
        <v>731</v>
      </c>
      <c r="D241" s="22">
        <v>55</v>
      </c>
      <c r="E241" s="41">
        <v>1</v>
      </c>
      <c r="F241" s="21" t="s">
        <v>716</v>
      </c>
      <c r="G241" s="21" t="s">
        <v>731</v>
      </c>
      <c r="H241" s="23" t="s">
        <v>725</v>
      </c>
      <c r="I241" s="65" t="s">
        <v>777</v>
      </c>
      <c r="J241" s="66" t="s">
        <v>770</v>
      </c>
      <c r="K241" s="21" t="s">
        <v>907</v>
      </c>
      <c r="L241" s="21"/>
      <c r="M241" s="21" t="s">
        <v>906</v>
      </c>
      <c r="N241" s="87"/>
      <c r="O241" s="87"/>
      <c r="P241" s="87"/>
      <c r="Q241" s="87"/>
      <c r="R241" s="87"/>
      <c r="S241" s="87"/>
      <c r="T241" s="87"/>
      <c r="U241" s="87"/>
      <c r="V241" s="87"/>
      <c r="W241" s="87"/>
    </row>
    <row r="242" spans="1:23" x14ac:dyDescent="0.25">
      <c r="A242" s="23" t="s">
        <v>118</v>
      </c>
      <c r="B242" s="47">
        <v>45</v>
      </c>
      <c r="C242" s="47">
        <v>25</v>
      </c>
      <c r="D242" s="47">
        <f>SUM(B242:C242)</f>
        <v>70</v>
      </c>
      <c r="E242" s="41">
        <v>1</v>
      </c>
      <c r="F242" s="23" t="s">
        <v>716</v>
      </c>
      <c r="G242" s="23" t="s">
        <v>218</v>
      </c>
      <c r="H242" s="23" t="s">
        <v>725</v>
      </c>
      <c r="I242" s="67" t="s">
        <v>993</v>
      </c>
      <c r="J242" s="65" t="s">
        <v>731</v>
      </c>
      <c r="K242" s="21"/>
      <c r="L242" s="21"/>
      <c r="M242" s="21"/>
      <c r="N242" s="97"/>
      <c r="O242" s="97"/>
      <c r="P242" s="97"/>
      <c r="Q242" s="97"/>
      <c r="R242" s="97"/>
      <c r="S242" s="97"/>
      <c r="T242" s="87"/>
      <c r="U242" s="87"/>
      <c r="V242" s="87"/>
      <c r="W242" s="87"/>
    </row>
    <row r="243" spans="1:23" x14ac:dyDescent="0.25">
      <c r="A243" s="16" t="s">
        <v>102</v>
      </c>
      <c r="B243" s="14" t="s">
        <v>731</v>
      </c>
      <c r="C243" s="49">
        <v>0.3</v>
      </c>
      <c r="D243" s="49" t="str">
        <f>IF(B243="NA","NA",SUM(B243:C243))</f>
        <v>NA</v>
      </c>
      <c r="E243" s="50">
        <v>2</v>
      </c>
      <c r="F243" s="16" t="s">
        <v>12</v>
      </c>
      <c r="G243" s="16" t="s">
        <v>220</v>
      </c>
      <c r="H243" s="16" t="s">
        <v>59</v>
      </c>
      <c r="I243" s="67" t="s">
        <v>103</v>
      </c>
      <c r="J243" s="67" t="s">
        <v>1084</v>
      </c>
      <c r="K243" s="13" t="s">
        <v>222</v>
      </c>
      <c r="L243" s="13" t="s">
        <v>818</v>
      </c>
      <c r="M243" s="13"/>
      <c r="N243" s="79"/>
      <c r="O243" s="79"/>
      <c r="P243" s="79"/>
      <c r="Q243" s="74"/>
      <c r="R243" s="74"/>
      <c r="S243" s="74"/>
      <c r="T243" s="74"/>
      <c r="U243" s="74"/>
      <c r="V243" s="74"/>
      <c r="W243" s="74"/>
    </row>
    <row r="244" spans="1:23" x14ac:dyDescent="0.25">
      <c r="A244" s="16" t="s">
        <v>102</v>
      </c>
      <c r="B244" s="14" t="s">
        <v>731</v>
      </c>
      <c r="C244" s="49">
        <v>0.4</v>
      </c>
      <c r="D244" s="49" t="str">
        <f t="shared" ref="D244:D254" si="11">IF(B244="NA","NA",SUM(B244:C244))</f>
        <v>NA</v>
      </c>
      <c r="E244" s="50">
        <v>2</v>
      </c>
      <c r="F244" s="16" t="s">
        <v>12</v>
      </c>
      <c r="G244" s="16" t="s">
        <v>218</v>
      </c>
      <c r="H244" s="16" t="s">
        <v>59</v>
      </c>
      <c r="I244" s="67" t="s">
        <v>103</v>
      </c>
      <c r="J244" s="67" t="s">
        <v>1084</v>
      </c>
      <c r="K244" s="13" t="s">
        <v>222</v>
      </c>
      <c r="L244" s="13" t="s">
        <v>818</v>
      </c>
      <c r="M244" s="13"/>
      <c r="N244" s="79"/>
      <c r="O244" s="79"/>
      <c r="P244" s="79"/>
      <c r="Q244" s="74"/>
      <c r="R244" s="74"/>
      <c r="S244" s="74"/>
      <c r="T244" s="74"/>
      <c r="U244" s="74"/>
      <c r="V244" s="74"/>
      <c r="W244" s="74"/>
    </row>
    <row r="245" spans="1:23" x14ac:dyDescent="0.25">
      <c r="A245" s="16" t="s">
        <v>102</v>
      </c>
      <c r="B245" s="49">
        <v>22.6</v>
      </c>
      <c r="C245" s="49" t="s">
        <v>731</v>
      </c>
      <c r="D245" s="49">
        <f t="shared" si="11"/>
        <v>22.6</v>
      </c>
      <c r="E245" s="50">
        <v>7</v>
      </c>
      <c r="F245" s="16" t="s">
        <v>12</v>
      </c>
      <c r="G245" s="16" t="s">
        <v>218</v>
      </c>
      <c r="H245" s="16" t="s">
        <v>13</v>
      </c>
      <c r="I245" s="67" t="s">
        <v>104</v>
      </c>
      <c r="J245" s="65" t="s">
        <v>1162</v>
      </c>
      <c r="K245" s="13" t="s">
        <v>222</v>
      </c>
      <c r="L245" s="13" t="s">
        <v>818</v>
      </c>
      <c r="M245" s="13"/>
      <c r="N245" s="79"/>
      <c r="O245" s="79"/>
      <c r="P245" s="79"/>
      <c r="Q245" s="74"/>
      <c r="R245" s="74"/>
      <c r="S245" s="74"/>
      <c r="T245" s="74"/>
      <c r="U245" s="74"/>
      <c r="V245" s="74"/>
      <c r="W245" s="74"/>
    </row>
    <row r="246" spans="1:23" x14ac:dyDescent="0.25">
      <c r="A246" s="16" t="s">
        <v>102</v>
      </c>
      <c r="B246" s="14" t="s">
        <v>731</v>
      </c>
      <c r="C246" s="49">
        <v>3.7</v>
      </c>
      <c r="D246" s="49" t="str">
        <f t="shared" si="11"/>
        <v>NA</v>
      </c>
      <c r="E246" s="50">
        <v>12</v>
      </c>
      <c r="F246" s="16" t="s">
        <v>12</v>
      </c>
      <c r="G246" s="16" t="s">
        <v>218</v>
      </c>
      <c r="H246" s="16" t="s">
        <v>59</v>
      </c>
      <c r="I246" s="67" t="s">
        <v>105</v>
      </c>
      <c r="J246" s="65" t="s">
        <v>1162</v>
      </c>
      <c r="K246" s="13" t="s">
        <v>222</v>
      </c>
      <c r="L246" s="13" t="s">
        <v>818</v>
      </c>
      <c r="M246" s="13"/>
      <c r="N246" s="79"/>
      <c r="O246" s="79"/>
      <c r="P246" s="79"/>
      <c r="Q246" s="74"/>
      <c r="R246" s="79">
        <v>2.8</v>
      </c>
      <c r="S246" s="74"/>
      <c r="T246" s="74"/>
      <c r="U246" s="74"/>
      <c r="V246" s="74"/>
      <c r="W246" s="74"/>
    </row>
    <row r="247" spans="1:23" x14ac:dyDescent="0.25">
      <c r="A247" s="16" t="s">
        <v>102</v>
      </c>
      <c r="B247" s="49">
        <v>51</v>
      </c>
      <c r="C247" s="49" t="s">
        <v>731</v>
      </c>
      <c r="D247" s="51">
        <f t="shared" si="11"/>
        <v>51</v>
      </c>
      <c r="E247" s="50">
        <v>12</v>
      </c>
      <c r="F247" s="16" t="s">
        <v>12</v>
      </c>
      <c r="G247" s="16" t="s">
        <v>218</v>
      </c>
      <c r="H247" s="16" t="s">
        <v>13</v>
      </c>
      <c r="I247" s="67" t="s">
        <v>106</v>
      </c>
      <c r="J247" s="65" t="s">
        <v>1162</v>
      </c>
      <c r="K247" s="13" t="s">
        <v>222</v>
      </c>
      <c r="L247" s="13" t="s">
        <v>818</v>
      </c>
      <c r="M247" s="13"/>
      <c r="N247" s="79"/>
      <c r="O247" s="79"/>
      <c r="P247" s="79"/>
      <c r="Q247" s="74"/>
      <c r="R247" s="79">
        <v>19.399999999999999</v>
      </c>
      <c r="S247" s="74"/>
      <c r="T247" s="74"/>
      <c r="U247" s="74"/>
      <c r="V247" s="74"/>
      <c r="W247" s="74"/>
    </row>
    <row r="248" spans="1:23" x14ac:dyDescent="0.25">
      <c r="A248" s="16" t="s">
        <v>102</v>
      </c>
      <c r="B248" s="49">
        <v>36.299999999999997</v>
      </c>
      <c r="C248" s="49" t="s">
        <v>731</v>
      </c>
      <c r="D248" s="51">
        <f t="shared" si="11"/>
        <v>36.299999999999997</v>
      </c>
      <c r="E248" s="50">
        <v>10</v>
      </c>
      <c r="F248" s="16" t="s">
        <v>12</v>
      </c>
      <c r="G248" s="16" t="s">
        <v>218</v>
      </c>
      <c r="H248" s="16" t="s">
        <v>13</v>
      </c>
      <c r="I248" s="67" t="s">
        <v>107</v>
      </c>
      <c r="J248" s="65" t="s">
        <v>1162</v>
      </c>
      <c r="K248" s="13" t="s">
        <v>222</v>
      </c>
      <c r="L248" s="13" t="s">
        <v>818</v>
      </c>
      <c r="M248" s="13"/>
      <c r="N248" s="79"/>
      <c r="O248" s="79"/>
      <c r="P248" s="79"/>
      <c r="Q248" s="74"/>
      <c r="R248" s="79">
        <v>16.600000000000001</v>
      </c>
      <c r="S248" s="74"/>
      <c r="T248" s="74"/>
      <c r="U248" s="74"/>
      <c r="V248" s="74"/>
      <c r="W248" s="74"/>
    </row>
    <row r="249" spans="1:23" x14ac:dyDescent="0.25">
      <c r="A249" s="16" t="s">
        <v>102</v>
      </c>
      <c r="B249" s="49">
        <v>38.200000000000003</v>
      </c>
      <c r="C249" s="49" t="s">
        <v>731</v>
      </c>
      <c r="D249" s="51">
        <f t="shared" si="11"/>
        <v>38.200000000000003</v>
      </c>
      <c r="E249" s="50">
        <v>8</v>
      </c>
      <c r="F249" s="16" t="s">
        <v>12</v>
      </c>
      <c r="G249" s="16" t="s">
        <v>218</v>
      </c>
      <c r="H249" s="16" t="s">
        <v>13</v>
      </c>
      <c r="I249" s="67" t="s">
        <v>108</v>
      </c>
      <c r="J249" s="65" t="s">
        <v>1162</v>
      </c>
      <c r="K249" s="13" t="s">
        <v>222</v>
      </c>
      <c r="L249" s="13" t="s">
        <v>818</v>
      </c>
      <c r="M249" s="13"/>
      <c r="N249" s="79"/>
      <c r="O249" s="79"/>
      <c r="P249" s="79"/>
      <c r="Q249" s="74"/>
      <c r="R249" s="74"/>
      <c r="S249" s="74"/>
      <c r="T249" s="74"/>
      <c r="U249" s="74"/>
      <c r="V249" s="74"/>
      <c r="W249" s="74"/>
    </row>
    <row r="250" spans="1:23" x14ac:dyDescent="0.25">
      <c r="A250" s="16" t="s">
        <v>102</v>
      </c>
      <c r="B250" s="49">
        <v>24.2</v>
      </c>
      <c r="C250" s="49" t="s">
        <v>731</v>
      </c>
      <c r="D250" s="51">
        <f t="shared" si="11"/>
        <v>24.2</v>
      </c>
      <c r="E250" s="50">
        <v>6</v>
      </c>
      <c r="F250" s="16" t="s">
        <v>12</v>
      </c>
      <c r="G250" s="16" t="s">
        <v>218</v>
      </c>
      <c r="H250" s="16" t="s">
        <v>13</v>
      </c>
      <c r="I250" s="67" t="s">
        <v>109</v>
      </c>
      <c r="J250" s="65" t="s">
        <v>1162</v>
      </c>
      <c r="K250" s="13" t="s">
        <v>222</v>
      </c>
      <c r="L250" s="13" t="s">
        <v>818</v>
      </c>
      <c r="M250" s="13"/>
      <c r="N250" s="79"/>
      <c r="O250" s="79"/>
      <c r="P250" s="79"/>
      <c r="Q250" s="74"/>
      <c r="R250" s="79">
        <v>15.4</v>
      </c>
      <c r="S250" s="74"/>
      <c r="T250" s="74"/>
      <c r="U250" s="74"/>
      <c r="V250" s="74"/>
      <c r="W250" s="74"/>
    </row>
    <row r="251" spans="1:23" x14ac:dyDescent="0.25">
      <c r="A251" s="16" t="s">
        <v>102</v>
      </c>
      <c r="B251" s="49">
        <v>31.6</v>
      </c>
      <c r="C251" s="49" t="s">
        <v>731</v>
      </c>
      <c r="D251" s="51">
        <f t="shared" si="11"/>
        <v>31.6</v>
      </c>
      <c r="E251" s="50">
        <v>7</v>
      </c>
      <c r="F251" s="16" t="s">
        <v>15</v>
      </c>
      <c r="G251" s="16" t="s">
        <v>218</v>
      </c>
      <c r="H251" s="16" t="s">
        <v>13</v>
      </c>
      <c r="I251" s="67" t="s">
        <v>109</v>
      </c>
      <c r="J251" s="65" t="s">
        <v>1162</v>
      </c>
      <c r="K251" s="13" t="s">
        <v>222</v>
      </c>
      <c r="L251" s="13" t="s">
        <v>818</v>
      </c>
      <c r="M251" s="13"/>
      <c r="N251" s="79"/>
      <c r="O251" s="79"/>
      <c r="P251" s="79"/>
      <c r="Q251" s="74"/>
      <c r="R251" s="79">
        <v>11</v>
      </c>
      <c r="S251" s="74"/>
      <c r="T251" s="74"/>
      <c r="U251" s="74"/>
      <c r="V251" s="74"/>
      <c r="W251" s="74"/>
    </row>
    <row r="252" spans="1:23" x14ac:dyDescent="0.25">
      <c r="A252" s="16" t="s">
        <v>102</v>
      </c>
      <c r="B252" s="52">
        <f>11.5*6/46+13.9*8/46+13.6*8/46+17.5*8/46+16.8*8/46+13.3*8/46</f>
        <v>14.560869565217391</v>
      </c>
      <c r="C252" s="49" t="s">
        <v>731</v>
      </c>
      <c r="D252" s="51">
        <f t="shared" si="11"/>
        <v>14.560869565217391</v>
      </c>
      <c r="E252" s="50">
        <v>46</v>
      </c>
      <c r="F252" s="16" t="s">
        <v>12</v>
      </c>
      <c r="G252" s="16" t="s">
        <v>218</v>
      </c>
      <c r="H252" s="16" t="s">
        <v>13</v>
      </c>
      <c r="I252" s="67" t="s">
        <v>110</v>
      </c>
      <c r="J252" s="67" t="s">
        <v>1082</v>
      </c>
      <c r="K252" s="13" t="s">
        <v>222</v>
      </c>
      <c r="L252" s="13" t="s">
        <v>818</v>
      </c>
      <c r="M252" s="13"/>
      <c r="N252" s="79"/>
      <c r="O252" s="79"/>
      <c r="P252" s="79"/>
      <c r="Q252" s="74"/>
      <c r="R252" s="79">
        <v>7.6</v>
      </c>
      <c r="S252" s="74"/>
      <c r="T252" s="74"/>
      <c r="U252" s="74"/>
      <c r="V252" s="74"/>
      <c r="W252" s="74"/>
    </row>
    <row r="253" spans="1:23" x14ac:dyDescent="0.25">
      <c r="A253" s="16" t="s">
        <v>102</v>
      </c>
      <c r="B253" s="49">
        <v>36.200000000000003</v>
      </c>
      <c r="C253" s="49" t="s">
        <v>731</v>
      </c>
      <c r="D253" s="51">
        <f t="shared" si="11"/>
        <v>36.200000000000003</v>
      </c>
      <c r="E253" s="50">
        <v>12</v>
      </c>
      <c r="F253" s="16" t="s">
        <v>12</v>
      </c>
      <c r="G253" s="16" t="s">
        <v>218</v>
      </c>
      <c r="H253" s="16" t="s">
        <v>13</v>
      </c>
      <c r="I253" s="67" t="s">
        <v>111</v>
      </c>
      <c r="J253" s="65" t="s">
        <v>1162</v>
      </c>
      <c r="K253" s="13" t="s">
        <v>222</v>
      </c>
      <c r="L253" s="13" t="s">
        <v>818</v>
      </c>
      <c r="M253" s="13"/>
      <c r="N253" s="79"/>
      <c r="O253" s="79"/>
      <c r="P253" s="79"/>
      <c r="Q253" s="74"/>
      <c r="R253" s="79">
        <v>9.6</v>
      </c>
      <c r="S253" s="74"/>
      <c r="T253" s="74"/>
      <c r="U253" s="74"/>
      <c r="V253" s="74"/>
      <c r="W253" s="74"/>
    </row>
    <row r="254" spans="1:23" x14ac:dyDescent="0.25">
      <c r="A254" s="16" t="s">
        <v>102</v>
      </c>
      <c r="B254" s="53">
        <v>30.4</v>
      </c>
      <c r="C254" s="49" t="s">
        <v>731</v>
      </c>
      <c r="D254" s="51">
        <f t="shared" si="11"/>
        <v>30.4</v>
      </c>
      <c r="E254" s="50">
        <v>12</v>
      </c>
      <c r="F254" s="16" t="s">
        <v>12</v>
      </c>
      <c r="G254" s="16" t="s">
        <v>218</v>
      </c>
      <c r="H254" s="16" t="s">
        <v>13</v>
      </c>
      <c r="I254" s="67" t="s">
        <v>111</v>
      </c>
      <c r="J254" s="65" t="s">
        <v>1162</v>
      </c>
      <c r="K254" s="13" t="s">
        <v>222</v>
      </c>
      <c r="L254" s="13" t="s">
        <v>818</v>
      </c>
      <c r="M254" s="13"/>
      <c r="N254" s="80"/>
      <c r="O254" s="80"/>
      <c r="P254" s="80"/>
      <c r="Q254" s="74"/>
      <c r="R254" s="79">
        <v>10.6</v>
      </c>
      <c r="S254" s="74"/>
      <c r="T254" s="74"/>
      <c r="U254" s="74"/>
      <c r="V254" s="74"/>
      <c r="W254" s="74"/>
    </row>
    <row r="255" spans="1:23" x14ac:dyDescent="0.25">
      <c r="A255" s="16" t="s">
        <v>102</v>
      </c>
      <c r="B255" s="49">
        <v>18</v>
      </c>
      <c r="C255" s="49">
        <v>4</v>
      </c>
      <c r="D255" s="49">
        <f>SUM(B255:C255)</f>
        <v>22</v>
      </c>
      <c r="E255" s="50">
        <v>6</v>
      </c>
      <c r="F255" s="16" t="s">
        <v>12</v>
      </c>
      <c r="G255" s="16" t="s">
        <v>218</v>
      </c>
      <c r="H255" s="16" t="s">
        <v>725</v>
      </c>
      <c r="I255" s="67" t="s">
        <v>112</v>
      </c>
      <c r="J255" s="67" t="s">
        <v>1083</v>
      </c>
      <c r="K255" s="13" t="s">
        <v>222</v>
      </c>
      <c r="L255" s="13" t="s">
        <v>818</v>
      </c>
      <c r="M255" s="13"/>
      <c r="N255" s="79">
        <f>1+14+1</f>
        <v>16</v>
      </c>
      <c r="O255" s="79">
        <f>7+6+3</f>
        <v>16</v>
      </c>
      <c r="P255" s="79"/>
      <c r="Q255" s="79">
        <v>1</v>
      </c>
      <c r="R255" s="79">
        <v>14</v>
      </c>
      <c r="S255" s="79">
        <v>1</v>
      </c>
      <c r="T255" s="74"/>
      <c r="U255" s="74"/>
      <c r="V255" s="74"/>
      <c r="W255" s="74"/>
    </row>
    <row r="256" spans="1:23" x14ac:dyDescent="0.25">
      <c r="A256" s="16" t="s">
        <v>102</v>
      </c>
      <c r="B256" s="49">
        <v>40</v>
      </c>
      <c r="C256" s="49" t="s">
        <v>731</v>
      </c>
      <c r="D256" s="51">
        <f t="shared" ref="D256:D261" si="12">IF(B256="NA","NA",SUM(B256:C256))</f>
        <v>40</v>
      </c>
      <c r="E256" s="50">
        <v>18</v>
      </c>
      <c r="F256" s="16" t="s">
        <v>12</v>
      </c>
      <c r="G256" s="16" t="s">
        <v>218</v>
      </c>
      <c r="H256" s="16" t="s">
        <v>13</v>
      </c>
      <c r="I256" s="67" t="s">
        <v>113</v>
      </c>
      <c r="J256" s="65" t="s">
        <v>1162</v>
      </c>
      <c r="K256" s="13" t="s">
        <v>222</v>
      </c>
      <c r="L256" s="13" t="s">
        <v>818</v>
      </c>
      <c r="M256" s="13"/>
      <c r="N256" s="79"/>
      <c r="O256" s="79"/>
      <c r="P256" s="79"/>
      <c r="Q256" s="74"/>
      <c r="R256" s="79">
        <v>18.399999999999999</v>
      </c>
      <c r="S256" s="74"/>
      <c r="T256" s="74"/>
      <c r="U256" s="74"/>
      <c r="V256" s="74"/>
      <c r="W256" s="74"/>
    </row>
    <row r="257" spans="1:23" x14ac:dyDescent="0.25">
      <c r="A257" s="16" t="s">
        <v>102</v>
      </c>
      <c r="B257" s="49">
        <v>18</v>
      </c>
      <c r="C257" s="49" t="s">
        <v>731</v>
      </c>
      <c r="D257" s="51">
        <f t="shared" si="12"/>
        <v>18</v>
      </c>
      <c r="E257" s="54">
        <v>1</v>
      </c>
      <c r="F257" s="16" t="s">
        <v>12</v>
      </c>
      <c r="G257" s="16" t="s">
        <v>58</v>
      </c>
      <c r="H257" s="16" t="s">
        <v>13</v>
      </c>
      <c r="I257" s="67" t="s">
        <v>114</v>
      </c>
      <c r="J257" s="65" t="s">
        <v>1162</v>
      </c>
      <c r="K257" s="13" t="s">
        <v>222</v>
      </c>
      <c r="L257" s="13" t="s">
        <v>818</v>
      </c>
      <c r="M257" s="13"/>
      <c r="N257" s="79"/>
      <c r="O257" s="79"/>
      <c r="P257" s="79"/>
      <c r="Q257" s="74"/>
      <c r="R257" s="79">
        <v>12</v>
      </c>
      <c r="S257" s="74"/>
      <c r="T257" s="74"/>
      <c r="U257" s="74"/>
      <c r="V257" s="74"/>
      <c r="W257" s="74"/>
    </row>
    <row r="258" spans="1:23" x14ac:dyDescent="0.25">
      <c r="A258" s="16" t="s">
        <v>102</v>
      </c>
      <c r="B258" s="49">
        <v>36</v>
      </c>
      <c r="C258" s="49" t="s">
        <v>731</v>
      </c>
      <c r="D258" s="51">
        <f t="shared" si="12"/>
        <v>36</v>
      </c>
      <c r="E258" s="54">
        <v>1</v>
      </c>
      <c r="F258" s="16" t="s">
        <v>12</v>
      </c>
      <c r="G258" s="16" t="s">
        <v>58</v>
      </c>
      <c r="H258" s="16" t="s">
        <v>13</v>
      </c>
      <c r="I258" s="67" t="s">
        <v>114</v>
      </c>
      <c r="J258" s="65" t="s">
        <v>1162</v>
      </c>
      <c r="K258" s="13" t="s">
        <v>222</v>
      </c>
      <c r="L258" s="13" t="s">
        <v>818</v>
      </c>
      <c r="M258" s="13"/>
      <c r="N258" s="79"/>
      <c r="O258" s="79"/>
      <c r="P258" s="79"/>
      <c r="Q258" s="74"/>
      <c r="R258" s="79">
        <v>9.6</v>
      </c>
      <c r="S258" s="74"/>
      <c r="T258" s="74"/>
      <c r="U258" s="74"/>
      <c r="V258" s="74"/>
      <c r="W258" s="74"/>
    </row>
    <row r="259" spans="1:23" x14ac:dyDescent="0.25">
      <c r="A259" s="16" t="s">
        <v>102</v>
      </c>
      <c r="B259" s="49">
        <v>23.9</v>
      </c>
      <c r="C259" s="49">
        <v>7.5</v>
      </c>
      <c r="D259" s="51">
        <f t="shared" si="12"/>
        <v>31.4</v>
      </c>
      <c r="E259" s="50">
        <v>6</v>
      </c>
      <c r="F259" s="16" t="s">
        <v>12</v>
      </c>
      <c r="G259" s="16" t="s">
        <v>218</v>
      </c>
      <c r="H259" s="16" t="s">
        <v>725</v>
      </c>
      <c r="I259" s="67" t="s">
        <v>115</v>
      </c>
      <c r="J259" s="65" t="s">
        <v>1162</v>
      </c>
      <c r="K259" s="13" t="s">
        <v>222</v>
      </c>
      <c r="L259" s="13" t="s">
        <v>818</v>
      </c>
      <c r="M259" s="13"/>
      <c r="N259" s="79">
        <v>14.1</v>
      </c>
      <c r="O259" s="79">
        <v>10.6</v>
      </c>
      <c r="P259" s="79"/>
      <c r="Q259" s="79">
        <v>0.9</v>
      </c>
      <c r="R259" s="79">
        <v>11.8</v>
      </c>
      <c r="S259" s="79">
        <v>1.3</v>
      </c>
      <c r="T259" s="79">
        <v>0.1</v>
      </c>
      <c r="U259" s="74"/>
      <c r="V259" s="79"/>
      <c r="W259" s="79"/>
    </row>
    <row r="260" spans="1:23" x14ac:dyDescent="0.25">
      <c r="A260" s="16" t="s">
        <v>102</v>
      </c>
      <c r="B260" s="55">
        <v>32.6</v>
      </c>
      <c r="C260" s="49" t="s">
        <v>731</v>
      </c>
      <c r="D260" s="51">
        <f t="shared" si="12"/>
        <v>32.6</v>
      </c>
      <c r="E260" s="50">
        <v>9</v>
      </c>
      <c r="F260" s="16" t="s">
        <v>12</v>
      </c>
      <c r="G260" s="16" t="s">
        <v>218</v>
      </c>
      <c r="H260" s="16" t="s">
        <v>13</v>
      </c>
      <c r="I260" s="67" t="s">
        <v>116</v>
      </c>
      <c r="J260" s="65" t="s">
        <v>1162</v>
      </c>
      <c r="K260" s="13" t="s">
        <v>222</v>
      </c>
      <c r="L260" s="13" t="s">
        <v>818</v>
      </c>
      <c r="M260" s="13"/>
      <c r="N260" s="81"/>
      <c r="O260" s="81"/>
      <c r="P260" s="81"/>
      <c r="Q260" s="74"/>
      <c r="R260" s="74"/>
      <c r="S260" s="74"/>
      <c r="T260" s="74"/>
      <c r="U260" s="74"/>
      <c r="V260" s="74"/>
      <c r="W260" s="74"/>
    </row>
    <row r="261" spans="1:23" x14ac:dyDescent="0.25">
      <c r="A261" s="16" t="s">
        <v>102</v>
      </c>
      <c r="B261" s="49">
        <v>23.5</v>
      </c>
      <c r="C261" s="49" t="s">
        <v>731</v>
      </c>
      <c r="D261" s="51">
        <f t="shared" si="12"/>
        <v>23.5</v>
      </c>
      <c r="E261" s="50">
        <v>6</v>
      </c>
      <c r="F261" s="16" t="s">
        <v>12</v>
      </c>
      <c r="G261" s="16" t="s">
        <v>218</v>
      </c>
      <c r="H261" s="16" t="s">
        <v>13</v>
      </c>
      <c r="I261" s="67" t="s">
        <v>117</v>
      </c>
      <c r="J261" s="65" t="s">
        <v>1162</v>
      </c>
      <c r="K261" s="13" t="s">
        <v>222</v>
      </c>
      <c r="L261" s="13" t="s">
        <v>818</v>
      </c>
      <c r="M261" s="13"/>
      <c r="N261" s="79"/>
      <c r="O261" s="79"/>
      <c r="P261" s="79"/>
      <c r="Q261" s="74"/>
      <c r="R261" s="82">
        <v>18.5</v>
      </c>
      <c r="S261" s="74"/>
      <c r="T261" s="74"/>
      <c r="U261" s="74"/>
      <c r="V261" s="74"/>
      <c r="W261" s="74"/>
    </row>
    <row r="262" spans="1:23" x14ac:dyDescent="0.25">
      <c r="A262" s="13" t="s">
        <v>102</v>
      </c>
      <c r="B262" s="28">
        <f>(12+15)/2</f>
        <v>13.5</v>
      </c>
      <c r="C262" s="31">
        <v>45</v>
      </c>
      <c r="D262" s="28">
        <f>SUM(B262:C262)</f>
        <v>58.5</v>
      </c>
      <c r="E262" s="54">
        <v>1</v>
      </c>
      <c r="F262" s="13" t="s">
        <v>716</v>
      </c>
      <c r="G262" s="16" t="s">
        <v>220</v>
      </c>
      <c r="H262" s="16" t="s">
        <v>725</v>
      </c>
      <c r="I262" s="65" t="s">
        <v>812</v>
      </c>
      <c r="J262" s="65" t="s">
        <v>731</v>
      </c>
      <c r="K262" s="13" t="s">
        <v>919</v>
      </c>
      <c r="L262" s="13"/>
      <c r="M262" s="13" t="s">
        <v>853</v>
      </c>
      <c r="N262" s="77"/>
      <c r="O262" s="77"/>
      <c r="P262" s="77"/>
      <c r="Q262" s="74"/>
      <c r="R262" s="74"/>
      <c r="S262" s="74"/>
      <c r="T262" s="74"/>
      <c r="U262" s="74"/>
      <c r="V262" s="74"/>
      <c r="W262" s="74"/>
    </row>
    <row r="263" spans="1:23" x14ac:dyDescent="0.25">
      <c r="A263" s="13" t="s">
        <v>102</v>
      </c>
      <c r="B263" s="49" t="s">
        <v>731</v>
      </c>
      <c r="C263" s="49" t="s">
        <v>731</v>
      </c>
      <c r="D263" s="18">
        <v>18</v>
      </c>
      <c r="E263" s="54">
        <v>1</v>
      </c>
      <c r="F263" s="13" t="s">
        <v>716</v>
      </c>
      <c r="G263" s="13" t="s">
        <v>731</v>
      </c>
      <c r="H263" s="16" t="s">
        <v>725</v>
      </c>
      <c r="I263" s="65" t="s">
        <v>732</v>
      </c>
      <c r="J263" s="65" t="s">
        <v>733</v>
      </c>
      <c r="K263" s="13" t="s">
        <v>734</v>
      </c>
      <c r="L263" s="13" t="s">
        <v>733</v>
      </c>
      <c r="M263" s="13" t="s">
        <v>753</v>
      </c>
      <c r="N263" s="75"/>
      <c r="O263" s="75"/>
      <c r="P263" s="75"/>
      <c r="Q263" s="74"/>
      <c r="R263" s="74"/>
      <c r="S263" s="74"/>
      <c r="T263" s="74"/>
      <c r="U263" s="74"/>
      <c r="V263" s="74"/>
      <c r="W263" s="74">
        <v>18</v>
      </c>
    </row>
    <row r="264" spans="1:23" x14ac:dyDescent="0.25">
      <c r="A264" s="13" t="s">
        <v>102</v>
      </c>
      <c r="B264" s="28">
        <f>(20+30)/2</f>
        <v>25</v>
      </c>
      <c r="C264" s="49">
        <v>50</v>
      </c>
      <c r="D264" s="51">
        <f t="shared" ref="D264:D270" si="13">IF(B264="NA","NA",SUM(B264:C264))</f>
        <v>75</v>
      </c>
      <c r="E264" s="54">
        <v>1</v>
      </c>
      <c r="F264" s="13" t="s">
        <v>716</v>
      </c>
      <c r="G264" s="13" t="s">
        <v>731</v>
      </c>
      <c r="H264" s="16" t="s">
        <v>725</v>
      </c>
      <c r="I264" s="65" t="s">
        <v>1085</v>
      </c>
      <c r="J264" s="65" t="s">
        <v>731</v>
      </c>
      <c r="K264" s="13"/>
      <c r="L264" s="13"/>
      <c r="M264" s="13"/>
      <c r="N264" s="77"/>
      <c r="O264" s="77"/>
      <c r="P264" s="77"/>
      <c r="Q264" s="74"/>
      <c r="R264" s="74"/>
      <c r="S264" s="74"/>
      <c r="T264" s="74"/>
      <c r="U264" s="74"/>
      <c r="V264" s="74"/>
      <c r="W264" s="74"/>
    </row>
    <row r="265" spans="1:23" x14ac:dyDescent="0.25">
      <c r="A265" s="13" t="s">
        <v>102</v>
      </c>
      <c r="B265" s="14">
        <v>25</v>
      </c>
      <c r="C265" s="49" t="s">
        <v>731</v>
      </c>
      <c r="D265" s="51">
        <f t="shared" si="13"/>
        <v>25</v>
      </c>
      <c r="E265" s="54">
        <v>1</v>
      </c>
      <c r="F265" s="13" t="s">
        <v>716</v>
      </c>
      <c r="G265" s="13" t="s">
        <v>731</v>
      </c>
      <c r="H265" s="16" t="s">
        <v>725</v>
      </c>
      <c r="I265" s="65" t="s">
        <v>754</v>
      </c>
      <c r="J265" s="66" t="s">
        <v>736</v>
      </c>
      <c r="K265" s="13"/>
      <c r="L265" s="13"/>
      <c r="M265" s="13" t="s">
        <v>735</v>
      </c>
      <c r="N265" s="74"/>
      <c r="O265" s="74"/>
      <c r="P265" s="74"/>
      <c r="Q265" s="74"/>
      <c r="R265" s="74"/>
      <c r="S265" s="74"/>
      <c r="T265" s="74"/>
      <c r="U265" s="74"/>
      <c r="V265" s="74"/>
      <c r="W265" s="74"/>
    </row>
    <row r="266" spans="1:23" x14ac:dyDescent="0.25">
      <c r="A266" s="13" t="s">
        <v>102</v>
      </c>
      <c r="B266" s="14">
        <v>60</v>
      </c>
      <c r="C266" s="49" t="s">
        <v>731</v>
      </c>
      <c r="D266" s="51">
        <f t="shared" si="13"/>
        <v>60</v>
      </c>
      <c r="E266" s="54">
        <v>1</v>
      </c>
      <c r="F266" s="13" t="s">
        <v>716</v>
      </c>
      <c r="G266" s="13" t="s">
        <v>731</v>
      </c>
      <c r="H266" s="16" t="s">
        <v>725</v>
      </c>
      <c r="I266" s="65" t="s">
        <v>820</v>
      </c>
      <c r="J266" s="65" t="s">
        <v>870</v>
      </c>
      <c r="K266" s="13"/>
      <c r="L266" s="13" t="s">
        <v>838</v>
      </c>
      <c r="M266" s="13"/>
      <c r="N266" s="74"/>
      <c r="O266" s="74"/>
      <c r="P266" s="74"/>
      <c r="Q266" s="74"/>
      <c r="R266" s="74"/>
      <c r="S266" s="74"/>
      <c r="T266" s="74"/>
      <c r="U266" s="74"/>
      <c r="V266" s="74"/>
      <c r="W266" s="74"/>
    </row>
    <row r="267" spans="1:23" x14ac:dyDescent="0.25">
      <c r="A267" s="13" t="s">
        <v>102</v>
      </c>
      <c r="B267" s="14">
        <v>20</v>
      </c>
      <c r="C267" s="49" t="s">
        <v>731</v>
      </c>
      <c r="D267" s="51">
        <f t="shared" si="13"/>
        <v>20</v>
      </c>
      <c r="E267" s="54">
        <v>1</v>
      </c>
      <c r="F267" s="13" t="s">
        <v>716</v>
      </c>
      <c r="G267" s="13" t="s">
        <v>731</v>
      </c>
      <c r="H267" s="16" t="s">
        <v>725</v>
      </c>
      <c r="I267" s="65" t="s">
        <v>772</v>
      </c>
      <c r="J267" s="65" t="s">
        <v>771</v>
      </c>
      <c r="K267" s="13" t="s">
        <v>878</v>
      </c>
      <c r="L267" s="13" t="s">
        <v>771</v>
      </c>
      <c r="M267" s="13" t="s">
        <v>877</v>
      </c>
      <c r="N267" s="74"/>
      <c r="O267" s="74"/>
      <c r="P267" s="74"/>
      <c r="Q267" s="74"/>
      <c r="R267" s="74"/>
      <c r="S267" s="74"/>
      <c r="T267" s="74"/>
      <c r="U267" s="74"/>
      <c r="V267" s="74"/>
      <c r="W267" s="74"/>
    </row>
    <row r="268" spans="1:23" x14ac:dyDescent="0.25">
      <c r="A268" s="13" t="s">
        <v>102</v>
      </c>
      <c r="B268" s="14">
        <v>25</v>
      </c>
      <c r="C268" s="49" t="s">
        <v>731</v>
      </c>
      <c r="D268" s="51">
        <f t="shared" si="13"/>
        <v>25</v>
      </c>
      <c r="E268" s="54">
        <v>1</v>
      </c>
      <c r="F268" s="13" t="s">
        <v>716</v>
      </c>
      <c r="G268" s="13" t="s">
        <v>731</v>
      </c>
      <c r="H268" s="16" t="s">
        <v>725</v>
      </c>
      <c r="I268" s="65" t="s">
        <v>741</v>
      </c>
      <c r="J268" s="65" t="s">
        <v>740</v>
      </c>
      <c r="K268" s="13" t="s">
        <v>885</v>
      </c>
      <c r="L268" s="13" t="s">
        <v>740</v>
      </c>
      <c r="M268" s="13" t="s">
        <v>883</v>
      </c>
      <c r="N268" s="74"/>
      <c r="O268" s="74"/>
      <c r="P268" s="74"/>
      <c r="Q268" s="74"/>
      <c r="R268" s="74"/>
      <c r="S268" s="74"/>
      <c r="T268" s="74"/>
      <c r="U268" s="74"/>
      <c r="V268" s="74"/>
      <c r="W268" s="74"/>
    </row>
    <row r="269" spans="1:23" x14ac:dyDescent="0.25">
      <c r="A269" s="13" t="s">
        <v>102</v>
      </c>
      <c r="B269" s="14">
        <f>0.5*0.58*100</f>
        <v>28.999999999999996</v>
      </c>
      <c r="C269" s="14">
        <v>50</v>
      </c>
      <c r="D269" s="51">
        <f t="shared" si="13"/>
        <v>79</v>
      </c>
      <c r="E269" s="54">
        <v>1</v>
      </c>
      <c r="F269" s="13" t="s">
        <v>716</v>
      </c>
      <c r="G269" s="13" t="s">
        <v>731</v>
      </c>
      <c r="H269" s="16" t="s">
        <v>725</v>
      </c>
      <c r="I269" s="65" t="s">
        <v>746</v>
      </c>
      <c r="J269" s="65" t="s">
        <v>745</v>
      </c>
      <c r="K269" s="13" t="s">
        <v>763</v>
      </c>
      <c r="L269" s="15" t="s">
        <v>770</v>
      </c>
      <c r="M269" s="13" t="s">
        <v>744</v>
      </c>
      <c r="N269" s="74"/>
      <c r="O269" s="74"/>
      <c r="P269" s="74"/>
      <c r="Q269" s="74"/>
      <c r="R269" s="74"/>
      <c r="S269" s="74"/>
      <c r="T269" s="74"/>
      <c r="U269" s="74"/>
      <c r="V269" s="74"/>
      <c r="W269" s="74"/>
    </row>
    <row r="270" spans="1:23" x14ac:dyDescent="0.25">
      <c r="A270" s="13" t="s">
        <v>102</v>
      </c>
      <c r="B270" s="14">
        <v>25</v>
      </c>
      <c r="C270" s="49" t="s">
        <v>731</v>
      </c>
      <c r="D270" s="51">
        <f t="shared" si="13"/>
        <v>25</v>
      </c>
      <c r="E270" s="54">
        <v>1</v>
      </c>
      <c r="F270" s="13" t="s">
        <v>716</v>
      </c>
      <c r="G270" s="13" t="s">
        <v>731</v>
      </c>
      <c r="H270" s="16" t="s">
        <v>725</v>
      </c>
      <c r="I270" s="65" t="s">
        <v>777</v>
      </c>
      <c r="J270" s="66" t="s">
        <v>778</v>
      </c>
      <c r="K270" s="13" t="s">
        <v>907</v>
      </c>
      <c r="L270" s="13"/>
      <c r="M270" s="13" t="s">
        <v>906</v>
      </c>
      <c r="N270" s="74"/>
      <c r="O270" s="74"/>
      <c r="P270" s="74"/>
      <c r="Q270" s="74"/>
      <c r="R270" s="74"/>
      <c r="S270" s="74"/>
      <c r="T270" s="74"/>
      <c r="U270" s="74"/>
      <c r="V270" s="74"/>
      <c r="W270" s="74"/>
    </row>
    <row r="271" spans="1:23" x14ac:dyDescent="0.25">
      <c r="A271" s="13" t="s">
        <v>102</v>
      </c>
      <c r="B271" s="14">
        <v>30</v>
      </c>
      <c r="C271" s="14">
        <v>7.5</v>
      </c>
      <c r="D271" s="14">
        <f>SUM(B271:C271)</f>
        <v>37.5</v>
      </c>
      <c r="E271" s="15">
        <v>1</v>
      </c>
      <c r="F271" s="13" t="s">
        <v>716</v>
      </c>
      <c r="G271" s="13" t="s">
        <v>218</v>
      </c>
      <c r="H271" s="16" t="s">
        <v>725</v>
      </c>
      <c r="I271" s="65" t="s">
        <v>993</v>
      </c>
      <c r="J271" s="65" t="s">
        <v>731</v>
      </c>
      <c r="K271" s="13"/>
      <c r="L271" s="13"/>
      <c r="M271" s="13" t="s">
        <v>1018</v>
      </c>
      <c r="N271" s="74">
        <v>12.5</v>
      </c>
      <c r="O271" s="74"/>
      <c r="P271" s="74"/>
      <c r="Q271" s="74"/>
      <c r="R271" s="74"/>
      <c r="S271" s="74"/>
      <c r="T271" s="74"/>
      <c r="U271" s="74"/>
      <c r="V271" s="74"/>
      <c r="W271" s="74"/>
    </row>
    <row r="272" spans="1:23" x14ac:dyDescent="0.25">
      <c r="A272" s="21" t="s">
        <v>862</v>
      </c>
      <c r="B272" s="22">
        <v>5.5</v>
      </c>
      <c r="C272" s="22" t="s">
        <v>731</v>
      </c>
      <c r="D272" s="22">
        <f>SUM(B272:C272)</f>
        <v>5.5</v>
      </c>
      <c r="E272" s="21">
        <v>160</v>
      </c>
      <c r="F272" s="21" t="s">
        <v>716</v>
      </c>
      <c r="G272" s="21"/>
      <c r="H272" s="21" t="s">
        <v>13</v>
      </c>
      <c r="I272" s="65" t="s">
        <v>950</v>
      </c>
      <c r="J272" s="65" t="s">
        <v>1086</v>
      </c>
      <c r="K272" s="21" t="s">
        <v>984</v>
      </c>
      <c r="L272" s="21" t="s">
        <v>821</v>
      </c>
      <c r="M272" s="21"/>
      <c r="N272" s="87"/>
      <c r="O272" s="87"/>
      <c r="P272" s="87"/>
      <c r="Q272" s="87">
        <v>9.5</v>
      </c>
      <c r="R272" s="87">
        <v>4.7</v>
      </c>
      <c r="S272" s="87">
        <v>0.9</v>
      </c>
      <c r="T272" s="87"/>
      <c r="U272" s="87"/>
      <c r="V272" s="87"/>
      <c r="W272" s="87"/>
    </row>
    <row r="273" spans="1:23" x14ac:dyDescent="0.25">
      <c r="A273" s="21" t="s">
        <v>862</v>
      </c>
      <c r="B273" s="27">
        <v>15</v>
      </c>
      <c r="C273" s="27" t="s">
        <v>731</v>
      </c>
      <c r="D273" s="27">
        <v>15</v>
      </c>
      <c r="E273" s="25">
        <v>1</v>
      </c>
      <c r="F273" s="21" t="s">
        <v>716</v>
      </c>
      <c r="G273" s="21" t="s">
        <v>731</v>
      </c>
      <c r="H273" s="23" t="s">
        <v>725</v>
      </c>
      <c r="I273" s="65" t="s">
        <v>732</v>
      </c>
      <c r="J273" s="65" t="s">
        <v>733</v>
      </c>
      <c r="K273" s="21" t="s">
        <v>734</v>
      </c>
      <c r="L273" s="21" t="s">
        <v>733</v>
      </c>
      <c r="M273" s="21" t="s">
        <v>753</v>
      </c>
      <c r="N273" s="88"/>
      <c r="O273" s="88"/>
      <c r="P273" s="88"/>
      <c r="Q273" s="87"/>
      <c r="R273" s="87"/>
      <c r="S273" s="87"/>
      <c r="T273" s="87"/>
      <c r="U273" s="87">
        <v>15</v>
      </c>
      <c r="V273" s="87"/>
      <c r="W273" s="87"/>
    </row>
    <row r="274" spans="1:23" x14ac:dyDescent="0.25">
      <c r="A274" s="21" t="s">
        <v>862</v>
      </c>
      <c r="B274" s="22" t="s">
        <v>731</v>
      </c>
      <c r="C274" s="22" t="s">
        <v>731</v>
      </c>
      <c r="D274" s="22" t="s">
        <v>731</v>
      </c>
      <c r="E274" s="21">
        <v>1</v>
      </c>
      <c r="F274" s="21" t="s">
        <v>716</v>
      </c>
      <c r="G274" s="21"/>
      <c r="H274" s="21" t="s">
        <v>13</v>
      </c>
      <c r="I274" s="65" t="s">
        <v>1087</v>
      </c>
      <c r="J274" s="65" t="s">
        <v>1088</v>
      </c>
      <c r="K274" s="21" t="s">
        <v>984</v>
      </c>
      <c r="L274" s="21" t="s">
        <v>821</v>
      </c>
      <c r="M274" s="21"/>
      <c r="N274" s="87">
        <v>30</v>
      </c>
      <c r="O274" s="87">
        <v>15</v>
      </c>
      <c r="P274" s="87"/>
      <c r="Q274" s="87">
        <v>30</v>
      </c>
      <c r="R274" s="87"/>
      <c r="S274" s="87"/>
      <c r="T274" s="87"/>
      <c r="U274" s="87"/>
      <c r="V274" s="87"/>
      <c r="W274" s="87"/>
    </row>
    <row r="275" spans="1:23" x14ac:dyDescent="0.25">
      <c r="A275" s="21" t="s">
        <v>862</v>
      </c>
      <c r="B275" s="22" t="s">
        <v>731</v>
      </c>
      <c r="C275" s="22" t="s">
        <v>731</v>
      </c>
      <c r="D275" s="27">
        <v>15</v>
      </c>
      <c r="E275" s="25">
        <v>1</v>
      </c>
      <c r="F275" s="21" t="s">
        <v>716</v>
      </c>
      <c r="G275" s="21" t="s">
        <v>731</v>
      </c>
      <c r="H275" s="23" t="s">
        <v>725</v>
      </c>
      <c r="I275" s="65" t="s">
        <v>787</v>
      </c>
      <c r="J275" s="65" t="s">
        <v>797</v>
      </c>
      <c r="K275" s="21" t="s">
        <v>868</v>
      </c>
      <c r="L275" s="21"/>
      <c r="M275" s="21" t="s">
        <v>840</v>
      </c>
      <c r="N275" s="88"/>
      <c r="O275" s="88"/>
      <c r="P275" s="88"/>
      <c r="Q275" s="87"/>
      <c r="R275" s="87"/>
      <c r="S275" s="87"/>
      <c r="T275" s="87"/>
      <c r="U275" s="87">
        <v>15</v>
      </c>
      <c r="V275" s="87"/>
      <c r="W275" s="87"/>
    </row>
    <row r="276" spans="1:23" x14ac:dyDescent="0.25">
      <c r="A276" s="21" t="s">
        <v>862</v>
      </c>
      <c r="B276" s="22">
        <v>13.6</v>
      </c>
      <c r="C276" s="22" t="s">
        <v>731</v>
      </c>
      <c r="D276" s="22">
        <f>SUM(B276:C276)</f>
        <v>13.6</v>
      </c>
      <c r="E276" s="21">
        <v>6</v>
      </c>
      <c r="F276" s="21" t="s">
        <v>716</v>
      </c>
      <c r="G276" s="21"/>
      <c r="H276" s="21" t="s">
        <v>13</v>
      </c>
      <c r="I276" s="65" t="s">
        <v>1090</v>
      </c>
      <c r="J276" s="65" t="s">
        <v>1162</v>
      </c>
      <c r="K276" s="21" t="s">
        <v>984</v>
      </c>
      <c r="L276" s="21" t="s">
        <v>821</v>
      </c>
      <c r="M276" s="21"/>
      <c r="N276" s="87"/>
      <c r="O276" s="87"/>
      <c r="P276" s="87"/>
      <c r="Q276" s="87">
        <v>27.2</v>
      </c>
      <c r="R276" s="87">
        <v>0</v>
      </c>
      <c r="S276" s="87">
        <v>0</v>
      </c>
      <c r="T276" s="87">
        <v>0</v>
      </c>
      <c r="U276" s="87">
        <v>0</v>
      </c>
      <c r="V276" s="87"/>
      <c r="W276" s="87"/>
    </row>
    <row r="277" spans="1:23" x14ac:dyDescent="0.25">
      <c r="A277" s="21" t="s">
        <v>862</v>
      </c>
      <c r="B277" s="22">
        <v>6</v>
      </c>
      <c r="C277" s="22" t="s">
        <v>731</v>
      </c>
      <c r="D277" s="22">
        <f>SUM(B277:C277)</f>
        <v>6</v>
      </c>
      <c r="E277" s="21">
        <v>1</v>
      </c>
      <c r="F277" s="21" t="s">
        <v>716</v>
      </c>
      <c r="G277" s="21"/>
      <c r="H277" s="21" t="s">
        <v>13</v>
      </c>
      <c r="I277" s="65" t="s">
        <v>948</v>
      </c>
      <c r="J277" s="65" t="s">
        <v>1162</v>
      </c>
      <c r="K277" s="21" t="s">
        <v>984</v>
      </c>
      <c r="L277" s="21" t="s">
        <v>821</v>
      </c>
      <c r="M277" s="21"/>
      <c r="N277" s="87"/>
      <c r="O277" s="87"/>
      <c r="P277" s="87"/>
      <c r="Q277" s="87">
        <v>16</v>
      </c>
      <c r="R277" s="87">
        <v>6.1</v>
      </c>
      <c r="S277" s="87">
        <v>2</v>
      </c>
      <c r="T277" s="87">
        <v>0.01</v>
      </c>
      <c r="U277" s="87">
        <v>9.4</v>
      </c>
      <c r="V277" s="87"/>
      <c r="W277" s="87"/>
    </row>
    <row r="278" spans="1:23" x14ac:dyDescent="0.25">
      <c r="A278" s="21" t="s">
        <v>862</v>
      </c>
      <c r="B278" s="22" t="s">
        <v>731</v>
      </c>
      <c r="C278" s="22" t="s">
        <v>731</v>
      </c>
      <c r="D278" s="22">
        <v>15</v>
      </c>
      <c r="E278" s="25">
        <v>1</v>
      </c>
      <c r="F278" s="21" t="s">
        <v>716</v>
      </c>
      <c r="G278" s="21" t="s">
        <v>731</v>
      </c>
      <c r="H278" s="23" t="s">
        <v>725</v>
      </c>
      <c r="I278" s="65" t="s">
        <v>788</v>
      </c>
      <c r="J278" s="65" t="s">
        <v>1089</v>
      </c>
      <c r="K278" s="21" t="s">
        <v>808</v>
      </c>
      <c r="L278" s="21" t="s">
        <v>798</v>
      </c>
      <c r="M278" s="21" t="s">
        <v>803</v>
      </c>
      <c r="N278" s="87"/>
      <c r="O278" s="87"/>
      <c r="P278" s="87"/>
      <c r="Q278" s="87"/>
      <c r="R278" s="87"/>
      <c r="S278" s="87"/>
      <c r="T278" s="87"/>
      <c r="U278" s="87"/>
      <c r="V278" s="87"/>
      <c r="W278" s="87"/>
    </row>
    <row r="279" spans="1:23" x14ac:dyDescent="0.25">
      <c r="A279" s="21" t="s">
        <v>862</v>
      </c>
      <c r="B279" s="22">
        <f>2+15</f>
        <v>17</v>
      </c>
      <c r="C279" s="22" t="s">
        <v>731</v>
      </c>
      <c r="D279" s="22">
        <f t="shared" ref="D279" si="14">SUM(B279:C279)</f>
        <v>17</v>
      </c>
      <c r="E279" s="25">
        <v>1</v>
      </c>
      <c r="F279" s="21" t="s">
        <v>716</v>
      </c>
      <c r="G279" s="21" t="s">
        <v>731</v>
      </c>
      <c r="H279" s="23" t="s">
        <v>725</v>
      </c>
      <c r="I279" s="65" t="s">
        <v>791</v>
      </c>
      <c r="J279" s="65" t="s">
        <v>800</v>
      </c>
      <c r="K279" s="21" t="s">
        <v>809</v>
      </c>
      <c r="L279" s="21"/>
      <c r="M279" s="21" t="s">
        <v>876</v>
      </c>
      <c r="N279" s="87"/>
      <c r="O279" s="87"/>
      <c r="P279" s="87"/>
      <c r="Q279" s="87"/>
      <c r="R279" s="87"/>
      <c r="S279" s="87"/>
      <c r="T279" s="87"/>
      <c r="U279" s="87"/>
      <c r="V279" s="87">
        <v>15</v>
      </c>
      <c r="W279" s="87"/>
    </row>
    <row r="280" spans="1:23" x14ac:dyDescent="0.25">
      <c r="A280" s="21" t="s">
        <v>862</v>
      </c>
      <c r="B280" s="22">
        <f>1+16</f>
        <v>17</v>
      </c>
      <c r="C280" s="22">
        <v>15</v>
      </c>
      <c r="D280" s="22">
        <f>SUM(B280:C280)</f>
        <v>32</v>
      </c>
      <c r="E280" s="25">
        <v>1</v>
      </c>
      <c r="F280" s="21" t="s">
        <v>716</v>
      </c>
      <c r="G280" s="21" t="s">
        <v>731</v>
      </c>
      <c r="H280" s="23" t="s">
        <v>725</v>
      </c>
      <c r="I280" s="65" t="s">
        <v>728</v>
      </c>
      <c r="J280" s="65" t="s">
        <v>729</v>
      </c>
      <c r="K280" s="21"/>
      <c r="L280" s="21"/>
      <c r="M280" s="21" t="s">
        <v>880</v>
      </c>
      <c r="N280" s="87"/>
      <c r="O280" s="87"/>
      <c r="P280" s="87"/>
      <c r="Q280" s="87">
        <v>40</v>
      </c>
      <c r="R280" s="87">
        <v>3</v>
      </c>
      <c r="S280" s="87">
        <v>3</v>
      </c>
      <c r="T280" s="87"/>
      <c r="U280" s="87">
        <v>3</v>
      </c>
      <c r="V280" s="87">
        <v>16</v>
      </c>
      <c r="W280" s="87"/>
    </row>
    <row r="281" spans="1:23" x14ac:dyDescent="0.25">
      <c r="A281" s="21" t="s">
        <v>862</v>
      </c>
      <c r="B281" s="22" t="s">
        <v>731</v>
      </c>
      <c r="C281" s="33" t="s">
        <v>731</v>
      </c>
      <c r="D281" s="33">
        <f>(35+65)/2</f>
        <v>50</v>
      </c>
      <c r="E281" s="25">
        <v>1</v>
      </c>
      <c r="F281" s="21" t="s">
        <v>716</v>
      </c>
      <c r="G281" s="21" t="s">
        <v>731</v>
      </c>
      <c r="H281" s="23" t="s">
        <v>725</v>
      </c>
      <c r="I281" s="65" t="s">
        <v>966</v>
      </c>
      <c r="J281" s="65" t="s">
        <v>967</v>
      </c>
      <c r="K281" s="21" t="s">
        <v>968</v>
      </c>
      <c r="L281" s="21" t="s">
        <v>740</v>
      </c>
      <c r="M281" s="21" t="s">
        <v>883</v>
      </c>
      <c r="N281" s="100"/>
      <c r="O281" s="100"/>
      <c r="P281" s="100"/>
      <c r="Q281" s="87"/>
      <c r="R281" s="87"/>
      <c r="S281" s="87"/>
      <c r="T281" s="87"/>
      <c r="U281" s="87"/>
      <c r="V281" s="87"/>
      <c r="W281" s="87"/>
    </row>
    <row r="282" spans="1:23" x14ac:dyDescent="0.25">
      <c r="A282" s="21" t="s">
        <v>862</v>
      </c>
      <c r="B282" s="22">
        <v>6</v>
      </c>
      <c r="C282" s="22" t="s">
        <v>731</v>
      </c>
      <c r="D282" s="22">
        <f>SUM(B282:C282)</f>
        <v>6</v>
      </c>
      <c r="E282" s="21">
        <v>1</v>
      </c>
      <c r="F282" s="21" t="s">
        <v>716</v>
      </c>
      <c r="G282" s="21"/>
      <c r="H282" s="21" t="s">
        <v>13</v>
      </c>
      <c r="I282" s="65" t="s">
        <v>946</v>
      </c>
      <c r="J282" s="65" t="s">
        <v>1092</v>
      </c>
      <c r="K282" s="21" t="s">
        <v>984</v>
      </c>
      <c r="L282" s="21" t="s">
        <v>821</v>
      </c>
      <c r="M282" s="21"/>
      <c r="N282" s="87"/>
      <c r="O282" s="87"/>
      <c r="P282" s="87"/>
      <c r="Q282" s="87">
        <v>11</v>
      </c>
      <c r="R282" s="87">
        <v>5.6</v>
      </c>
      <c r="S282" s="87">
        <v>2</v>
      </c>
      <c r="T282" s="87">
        <v>0</v>
      </c>
      <c r="U282" s="87">
        <v>11</v>
      </c>
      <c r="V282" s="87"/>
      <c r="W282" s="87"/>
    </row>
    <row r="283" spans="1:23" x14ac:dyDescent="0.25">
      <c r="A283" s="21" t="s">
        <v>862</v>
      </c>
      <c r="B283" s="22">
        <f>0.55*0.15*100</f>
        <v>8.25</v>
      </c>
      <c r="C283" s="22">
        <v>45</v>
      </c>
      <c r="D283" s="22">
        <f>SUM(B283:C283)</f>
        <v>53.25</v>
      </c>
      <c r="E283" s="25">
        <v>1</v>
      </c>
      <c r="F283" s="21" t="s">
        <v>716</v>
      </c>
      <c r="G283" s="21" t="s">
        <v>731</v>
      </c>
      <c r="H283" s="23" t="s">
        <v>725</v>
      </c>
      <c r="I283" s="65" t="s">
        <v>746</v>
      </c>
      <c r="J283" s="65" t="s">
        <v>745</v>
      </c>
      <c r="K283" s="21" t="s">
        <v>893</v>
      </c>
      <c r="L283" s="25" t="s">
        <v>770</v>
      </c>
      <c r="M283" s="21" t="s">
        <v>892</v>
      </c>
      <c r="N283" s="87"/>
      <c r="O283" s="87"/>
      <c r="P283" s="87"/>
      <c r="Q283" s="87"/>
      <c r="R283" s="87"/>
      <c r="S283" s="87"/>
      <c r="T283" s="87"/>
      <c r="U283" s="87"/>
      <c r="V283" s="87"/>
      <c r="W283" s="87"/>
    </row>
    <row r="284" spans="1:23" x14ac:dyDescent="0.25">
      <c r="A284" s="21" t="s">
        <v>862</v>
      </c>
      <c r="B284" s="22">
        <v>7.5</v>
      </c>
      <c r="C284" s="22" t="s">
        <v>731</v>
      </c>
      <c r="D284" s="22">
        <f t="shared" ref="D284:D285" si="15">SUM(B284:C284)</f>
        <v>7.5</v>
      </c>
      <c r="E284" s="21">
        <v>1</v>
      </c>
      <c r="F284" s="21" t="s">
        <v>716</v>
      </c>
      <c r="G284" s="21"/>
      <c r="H284" s="21" t="s">
        <v>13</v>
      </c>
      <c r="I284" s="65" t="s">
        <v>951</v>
      </c>
      <c r="J284" s="65" t="s">
        <v>1091</v>
      </c>
      <c r="K284" s="21" t="s">
        <v>984</v>
      </c>
      <c r="L284" s="21" t="s">
        <v>821</v>
      </c>
      <c r="M284" s="21"/>
      <c r="N284" s="87">
        <v>25</v>
      </c>
      <c r="O284" s="87">
        <v>15</v>
      </c>
      <c r="P284" s="87"/>
      <c r="Q284" s="87">
        <v>25</v>
      </c>
      <c r="R284" s="87">
        <v>0</v>
      </c>
      <c r="S284" s="87">
        <v>0</v>
      </c>
      <c r="T284" s="87">
        <v>0</v>
      </c>
      <c r="U284" s="87">
        <v>0</v>
      </c>
      <c r="V284" s="87"/>
      <c r="W284" s="87"/>
    </row>
    <row r="285" spans="1:23" x14ac:dyDescent="0.25">
      <c r="A285" s="21" t="s">
        <v>862</v>
      </c>
      <c r="B285" s="22">
        <f>0.3*60+0.15*60</f>
        <v>27</v>
      </c>
      <c r="C285" s="22" t="s">
        <v>731</v>
      </c>
      <c r="D285" s="22">
        <f t="shared" si="15"/>
        <v>27</v>
      </c>
      <c r="E285" s="21">
        <v>2</v>
      </c>
      <c r="F285" s="21" t="s">
        <v>716</v>
      </c>
      <c r="G285" s="21" t="s">
        <v>218</v>
      </c>
      <c r="H285" s="21" t="s">
        <v>13</v>
      </c>
      <c r="I285" s="65" t="s">
        <v>1164</v>
      </c>
      <c r="J285" s="65" t="s">
        <v>1165</v>
      </c>
      <c r="K285" s="21"/>
      <c r="L285" s="21"/>
      <c r="M285" s="21" t="s">
        <v>1093</v>
      </c>
      <c r="N285" s="87"/>
      <c r="O285" s="87"/>
      <c r="P285" s="87"/>
      <c r="Q285" s="87">
        <f>0.3*60</f>
        <v>18</v>
      </c>
      <c r="R285" s="87">
        <f>0.1*60</f>
        <v>6</v>
      </c>
      <c r="S285" s="87"/>
      <c r="T285" s="87"/>
      <c r="U285" s="87">
        <f>0.15*60</f>
        <v>9</v>
      </c>
      <c r="V285" s="87">
        <f>0.15*60</f>
        <v>9</v>
      </c>
      <c r="W285" s="87"/>
    </row>
    <row r="286" spans="1:23" x14ac:dyDescent="0.25">
      <c r="A286" s="21" t="s">
        <v>862</v>
      </c>
      <c r="B286" s="22" t="s">
        <v>731</v>
      </c>
      <c r="C286" s="22" t="s">
        <v>731</v>
      </c>
      <c r="D286" s="22">
        <v>41</v>
      </c>
      <c r="E286" s="25">
        <v>1</v>
      </c>
      <c r="F286" s="21" t="s">
        <v>716</v>
      </c>
      <c r="G286" s="21" t="s">
        <v>731</v>
      </c>
      <c r="H286" s="23" t="s">
        <v>725</v>
      </c>
      <c r="I286" s="65" t="s">
        <v>749</v>
      </c>
      <c r="J286" s="65" t="s">
        <v>748</v>
      </c>
      <c r="K286" s="21" t="s">
        <v>764</v>
      </c>
      <c r="L286" s="21" t="s">
        <v>748</v>
      </c>
      <c r="M286" s="21" t="s">
        <v>747</v>
      </c>
      <c r="N286" s="87"/>
      <c r="O286" s="87"/>
      <c r="P286" s="87"/>
      <c r="Q286" s="87"/>
      <c r="R286" s="87"/>
      <c r="S286" s="87"/>
      <c r="T286" s="87"/>
      <c r="U286" s="87"/>
      <c r="V286" s="87"/>
      <c r="W286" s="87"/>
    </row>
    <row r="287" spans="1:23" x14ac:dyDescent="0.25">
      <c r="A287" s="21" t="s">
        <v>862</v>
      </c>
      <c r="B287" s="22">
        <v>6.2</v>
      </c>
      <c r="C287" s="22" t="s">
        <v>731</v>
      </c>
      <c r="D287" s="22">
        <f t="shared" ref="D287:D288" si="16">SUM(B287:C287)</f>
        <v>6.2</v>
      </c>
      <c r="E287" s="21">
        <v>5</v>
      </c>
      <c r="F287" s="21" t="s">
        <v>716</v>
      </c>
      <c r="G287" s="21"/>
      <c r="H287" s="21" t="s">
        <v>13</v>
      </c>
      <c r="I287" s="65" t="s">
        <v>947</v>
      </c>
      <c r="J287" s="65" t="s">
        <v>1162</v>
      </c>
      <c r="K287" s="21" t="s">
        <v>984</v>
      </c>
      <c r="L287" s="21" t="s">
        <v>821</v>
      </c>
      <c r="M287" s="21"/>
      <c r="N287" s="87"/>
      <c r="O287" s="87"/>
      <c r="P287" s="87"/>
      <c r="Q287" s="87">
        <v>16</v>
      </c>
      <c r="R287" s="87">
        <v>6.1</v>
      </c>
      <c r="S287" s="87">
        <v>2</v>
      </c>
      <c r="T287" s="87">
        <v>0</v>
      </c>
      <c r="U287" s="87">
        <v>0</v>
      </c>
      <c r="V287" s="87"/>
      <c r="W287" s="87"/>
    </row>
    <row r="288" spans="1:23" x14ac:dyDescent="0.25">
      <c r="A288" s="21" t="s">
        <v>862</v>
      </c>
      <c r="B288" s="22">
        <f>1+60</f>
        <v>61</v>
      </c>
      <c r="C288" s="22" t="s">
        <v>731</v>
      </c>
      <c r="D288" s="22">
        <f t="shared" si="16"/>
        <v>61</v>
      </c>
      <c r="E288" s="25">
        <v>1</v>
      </c>
      <c r="F288" s="21" t="s">
        <v>716</v>
      </c>
      <c r="G288" s="21" t="s">
        <v>731</v>
      </c>
      <c r="H288" s="23" t="s">
        <v>13</v>
      </c>
      <c r="I288" s="65" t="s">
        <v>792</v>
      </c>
      <c r="J288" s="65" t="s">
        <v>1167</v>
      </c>
      <c r="K288" s="21"/>
      <c r="L288" s="21"/>
      <c r="M288" s="21" t="s">
        <v>904</v>
      </c>
      <c r="N288" s="87"/>
      <c r="O288" s="87"/>
      <c r="P288" s="87"/>
      <c r="Q288" s="87"/>
      <c r="R288" s="87"/>
      <c r="S288" s="87"/>
      <c r="T288" s="87"/>
      <c r="U288" s="87"/>
      <c r="V288" s="87">
        <v>60</v>
      </c>
      <c r="W288" s="87"/>
    </row>
    <row r="289" spans="1:23" x14ac:dyDescent="0.25">
      <c r="A289" s="21" t="s">
        <v>862</v>
      </c>
      <c r="B289" s="22" t="s">
        <v>731</v>
      </c>
      <c r="C289" s="22" t="s">
        <v>731</v>
      </c>
      <c r="D289" s="22">
        <v>15</v>
      </c>
      <c r="E289" s="25">
        <v>1</v>
      </c>
      <c r="F289" s="21" t="s">
        <v>716</v>
      </c>
      <c r="G289" s="21" t="s">
        <v>731</v>
      </c>
      <c r="H289" s="23" t="s">
        <v>725</v>
      </c>
      <c r="I289" s="65" t="s">
        <v>823</v>
      </c>
      <c r="J289" s="65" t="s">
        <v>923</v>
      </c>
      <c r="K289" s="21" t="s">
        <v>924</v>
      </c>
      <c r="L289" s="24" t="s">
        <v>738</v>
      </c>
      <c r="M289" s="21" t="s">
        <v>969</v>
      </c>
      <c r="N289" s="87"/>
      <c r="O289" s="87"/>
      <c r="P289" s="87"/>
      <c r="Q289" s="87"/>
      <c r="R289" s="87"/>
      <c r="S289" s="87"/>
      <c r="T289" s="87"/>
      <c r="U289" s="87"/>
      <c r="V289" s="87"/>
      <c r="W289" s="87"/>
    </row>
    <row r="290" spans="1:23" x14ac:dyDescent="0.25">
      <c r="A290" s="21" t="s">
        <v>862</v>
      </c>
      <c r="B290" s="22" t="s">
        <v>731</v>
      </c>
      <c r="C290" s="22" t="s">
        <v>731</v>
      </c>
      <c r="D290" s="33">
        <v>7.5</v>
      </c>
      <c r="E290" s="25">
        <v>1</v>
      </c>
      <c r="F290" s="21" t="s">
        <v>716</v>
      </c>
      <c r="G290" s="21" t="s">
        <v>731</v>
      </c>
      <c r="H290" s="23" t="s">
        <v>725</v>
      </c>
      <c r="I290" s="65" t="s">
        <v>970</v>
      </c>
      <c r="J290" s="65" t="s">
        <v>802</v>
      </c>
      <c r="K290" s="21" t="s">
        <v>971</v>
      </c>
      <c r="L290" s="21" t="s">
        <v>802</v>
      </c>
      <c r="M290" s="21" t="s">
        <v>806</v>
      </c>
      <c r="N290" s="98"/>
      <c r="O290" s="98"/>
      <c r="P290" s="98"/>
      <c r="Q290" s="87"/>
      <c r="R290" s="87"/>
      <c r="S290" s="87"/>
      <c r="T290" s="87"/>
      <c r="U290" s="87"/>
      <c r="V290" s="87"/>
      <c r="W290" s="87"/>
    </row>
    <row r="291" spans="1:23" x14ac:dyDescent="0.25">
      <c r="A291" s="21" t="s">
        <v>862</v>
      </c>
      <c r="B291" s="22">
        <v>6</v>
      </c>
      <c r="C291" s="22" t="s">
        <v>731</v>
      </c>
      <c r="D291" s="22">
        <f t="shared" ref="D291:D292" si="17">SUM(B291:C291)</f>
        <v>6</v>
      </c>
      <c r="E291" s="21">
        <v>1</v>
      </c>
      <c r="F291" s="21" t="s">
        <v>716</v>
      </c>
      <c r="G291" s="21"/>
      <c r="H291" s="21" t="s">
        <v>13</v>
      </c>
      <c r="I291" s="65" t="s">
        <v>949</v>
      </c>
      <c r="J291" s="65" t="s">
        <v>1162</v>
      </c>
      <c r="K291" s="21" t="s">
        <v>984</v>
      </c>
      <c r="L291" s="21" t="s">
        <v>821</v>
      </c>
      <c r="M291" s="21"/>
      <c r="N291" s="87"/>
      <c r="O291" s="87"/>
      <c r="P291" s="87"/>
      <c r="Q291" s="87">
        <v>16</v>
      </c>
      <c r="R291" s="87">
        <v>6</v>
      </c>
      <c r="S291" s="87">
        <v>2</v>
      </c>
      <c r="T291" s="87">
        <v>0</v>
      </c>
      <c r="U291" s="87">
        <v>10</v>
      </c>
      <c r="V291" s="87"/>
      <c r="W291" s="87"/>
    </row>
    <row r="292" spans="1:23" x14ac:dyDescent="0.25">
      <c r="A292" s="21" t="s">
        <v>862</v>
      </c>
      <c r="B292" s="22">
        <f>1+7.5</f>
        <v>8.5</v>
      </c>
      <c r="C292" s="22">
        <v>5</v>
      </c>
      <c r="D292" s="22">
        <f t="shared" si="17"/>
        <v>13.5</v>
      </c>
      <c r="E292" s="21">
        <v>1</v>
      </c>
      <c r="F292" s="21" t="s">
        <v>716</v>
      </c>
      <c r="G292" s="21" t="s">
        <v>731</v>
      </c>
      <c r="H292" s="21" t="s">
        <v>725</v>
      </c>
      <c r="I292" s="65" t="s">
        <v>1094</v>
      </c>
      <c r="J292" s="65" t="s">
        <v>731</v>
      </c>
      <c r="K292" s="21"/>
      <c r="L292" s="21"/>
      <c r="M292" s="21" t="s">
        <v>1095</v>
      </c>
      <c r="N292" s="87">
        <v>60</v>
      </c>
      <c r="O292" s="87">
        <v>35</v>
      </c>
      <c r="P292" s="87"/>
      <c r="Q292" s="87"/>
      <c r="R292" s="87"/>
      <c r="S292" s="87"/>
      <c r="T292" s="87"/>
      <c r="U292" s="87"/>
      <c r="V292" s="87"/>
      <c r="W292" s="87"/>
    </row>
    <row r="293" spans="1:23" x14ac:dyDescent="0.25">
      <c r="A293" s="21" t="s">
        <v>862</v>
      </c>
      <c r="B293" s="22">
        <v>12.66</v>
      </c>
      <c r="C293" s="22">
        <v>1.0900000000000001</v>
      </c>
      <c r="D293" s="33">
        <f>SUM(B293:C293)</f>
        <v>13.75</v>
      </c>
      <c r="E293" s="26">
        <v>2</v>
      </c>
      <c r="F293" s="21" t="s">
        <v>716</v>
      </c>
      <c r="G293" s="21" t="s">
        <v>731</v>
      </c>
      <c r="H293" s="23" t="s">
        <v>725</v>
      </c>
      <c r="I293" s="65" t="s">
        <v>1100</v>
      </c>
      <c r="J293" s="65" t="s">
        <v>1099</v>
      </c>
      <c r="K293" s="21"/>
      <c r="L293" s="21"/>
      <c r="M293" s="21"/>
      <c r="N293" s="87">
        <v>22.07</v>
      </c>
      <c r="O293" s="87">
        <v>3.53</v>
      </c>
      <c r="P293" s="87">
        <f>SUM(N293:O293)</f>
        <v>25.6</v>
      </c>
      <c r="Q293" s="87"/>
      <c r="R293" s="87"/>
      <c r="S293" s="87"/>
      <c r="T293" s="87"/>
      <c r="U293" s="87"/>
      <c r="V293" s="87"/>
      <c r="W293" s="87"/>
    </row>
    <row r="294" spans="1:23" x14ac:dyDescent="0.25">
      <c r="A294" s="13" t="s">
        <v>854</v>
      </c>
      <c r="B294" s="28">
        <f>(12+15)/2</f>
        <v>13.5</v>
      </c>
      <c r="C294" s="28" t="s">
        <v>731</v>
      </c>
      <c r="D294" s="14">
        <f>SUM(B294:C294)</f>
        <v>13.5</v>
      </c>
      <c r="E294" s="15">
        <v>1</v>
      </c>
      <c r="F294" s="13" t="s">
        <v>716</v>
      </c>
      <c r="G294" s="16" t="s">
        <v>220</v>
      </c>
      <c r="H294" s="16" t="s">
        <v>13</v>
      </c>
      <c r="I294" s="65" t="s">
        <v>812</v>
      </c>
      <c r="J294" s="65" t="s">
        <v>731</v>
      </c>
      <c r="K294" s="13" t="s">
        <v>918</v>
      </c>
      <c r="L294" s="19" t="s">
        <v>768</v>
      </c>
      <c r="M294" s="13" t="s">
        <v>855</v>
      </c>
      <c r="N294" s="77"/>
      <c r="O294" s="77"/>
      <c r="P294" s="77"/>
      <c r="Q294" s="74"/>
      <c r="R294" s="77"/>
      <c r="S294" s="74"/>
      <c r="T294" s="74"/>
      <c r="U294" s="74"/>
      <c r="V294" s="74"/>
      <c r="W294" s="74"/>
    </row>
    <row r="295" spans="1:23" x14ac:dyDescent="0.25">
      <c r="A295" s="13" t="s">
        <v>854</v>
      </c>
      <c r="B295" s="14">
        <f>5</f>
        <v>5</v>
      </c>
      <c r="C295" s="14">
        <f>100-(45+18)/2</f>
        <v>68.5</v>
      </c>
      <c r="D295" s="14">
        <f>SUM(B295:C295)</f>
        <v>73.5</v>
      </c>
      <c r="E295" s="15">
        <v>1</v>
      </c>
      <c r="F295" s="13" t="s">
        <v>716</v>
      </c>
      <c r="G295" s="13" t="s">
        <v>731</v>
      </c>
      <c r="H295" s="16" t="s">
        <v>725</v>
      </c>
      <c r="I295" s="65" t="s">
        <v>1085</v>
      </c>
      <c r="J295" s="65" t="s">
        <v>731</v>
      </c>
      <c r="K295" s="13"/>
      <c r="L295" s="13"/>
      <c r="M295" s="13" t="s">
        <v>922</v>
      </c>
      <c r="N295" s="74"/>
      <c r="O295" s="74"/>
      <c r="P295" s="74"/>
      <c r="Q295" s="74" t="s">
        <v>869</v>
      </c>
      <c r="R295" s="74"/>
      <c r="S295" s="74"/>
      <c r="T295" s="74"/>
      <c r="U295" s="74"/>
      <c r="V295" s="74"/>
      <c r="W295" s="74"/>
    </row>
    <row r="296" spans="1:23" x14ac:dyDescent="0.25">
      <c r="A296" s="13" t="s">
        <v>854</v>
      </c>
      <c r="B296" s="14">
        <v>10</v>
      </c>
      <c r="C296" s="14" t="s">
        <v>731</v>
      </c>
      <c r="D296" s="14">
        <f>SUM(B296:C296)</f>
        <v>10</v>
      </c>
      <c r="E296" s="15">
        <v>1</v>
      </c>
      <c r="F296" s="13" t="s">
        <v>716</v>
      </c>
      <c r="G296" s="13" t="s">
        <v>731</v>
      </c>
      <c r="H296" s="16" t="s">
        <v>725</v>
      </c>
      <c r="I296" s="65" t="s">
        <v>737</v>
      </c>
      <c r="J296" s="66" t="s">
        <v>736</v>
      </c>
      <c r="K296" s="13"/>
      <c r="L296" s="13"/>
      <c r="M296" s="13" t="s">
        <v>735</v>
      </c>
      <c r="N296" s="74"/>
      <c r="O296" s="74"/>
      <c r="P296" s="74"/>
      <c r="Q296" s="74"/>
      <c r="R296" s="74"/>
      <c r="S296" s="74"/>
      <c r="T296" s="74"/>
      <c r="U296" s="74"/>
      <c r="V296" s="74"/>
      <c r="W296" s="74"/>
    </row>
    <row r="297" spans="1:23" x14ac:dyDescent="0.25">
      <c r="A297" s="13" t="s">
        <v>854</v>
      </c>
      <c r="B297" s="14">
        <v>4</v>
      </c>
      <c r="C297" s="14" t="s">
        <v>731</v>
      </c>
      <c r="D297" s="14">
        <f t="shared" ref="D297:D298" si="18">SUM(B297:C297)</f>
        <v>4</v>
      </c>
      <c r="E297" s="15">
        <v>1</v>
      </c>
      <c r="F297" s="13" t="s">
        <v>716</v>
      </c>
      <c r="G297" s="13" t="s">
        <v>731</v>
      </c>
      <c r="H297" s="16" t="s">
        <v>725</v>
      </c>
      <c r="I297" s="65" t="s">
        <v>791</v>
      </c>
      <c r="J297" s="65" t="s">
        <v>800</v>
      </c>
      <c r="K297" s="13" t="s">
        <v>809</v>
      </c>
      <c r="L297" s="13"/>
      <c r="M297" s="13" t="s">
        <v>876</v>
      </c>
      <c r="N297" s="74"/>
      <c r="O297" s="74"/>
      <c r="P297" s="74"/>
      <c r="Q297" s="74"/>
      <c r="R297" s="74">
        <v>0</v>
      </c>
      <c r="S297" s="74"/>
      <c r="T297" s="74"/>
      <c r="U297" s="74"/>
      <c r="V297" s="74"/>
      <c r="W297" s="74"/>
    </row>
    <row r="298" spans="1:23" x14ac:dyDescent="0.25">
      <c r="A298" s="13" t="s">
        <v>854</v>
      </c>
      <c r="B298" s="14">
        <v>8</v>
      </c>
      <c r="C298" s="14" t="s">
        <v>731</v>
      </c>
      <c r="D298" s="14">
        <f t="shared" si="18"/>
        <v>8</v>
      </c>
      <c r="E298" s="15">
        <v>1</v>
      </c>
      <c r="F298" s="13" t="s">
        <v>716</v>
      </c>
      <c r="G298" s="13" t="s">
        <v>731</v>
      </c>
      <c r="H298" s="16" t="s">
        <v>725</v>
      </c>
      <c r="I298" s="65" t="s">
        <v>772</v>
      </c>
      <c r="J298" s="65" t="s">
        <v>771</v>
      </c>
      <c r="K298" s="13" t="s">
        <v>878</v>
      </c>
      <c r="L298" s="13" t="s">
        <v>771</v>
      </c>
      <c r="M298" s="13" t="s">
        <v>877</v>
      </c>
      <c r="N298" s="74"/>
      <c r="O298" s="74"/>
      <c r="P298" s="74"/>
      <c r="Q298" s="74"/>
      <c r="R298" s="74"/>
      <c r="S298" s="74"/>
      <c r="T298" s="74"/>
      <c r="U298" s="74"/>
      <c r="V298" s="74"/>
      <c r="W298" s="74"/>
    </row>
    <row r="299" spans="1:23" x14ac:dyDescent="0.25">
      <c r="A299" s="13" t="s">
        <v>854</v>
      </c>
      <c r="B299" s="14">
        <v>7.5</v>
      </c>
      <c r="C299" s="14">
        <v>90</v>
      </c>
      <c r="D299" s="14">
        <f>SUM(B299:C299)</f>
        <v>97.5</v>
      </c>
      <c r="E299" s="15">
        <v>1</v>
      </c>
      <c r="F299" s="13" t="s">
        <v>716</v>
      </c>
      <c r="G299" s="13" t="s">
        <v>731</v>
      </c>
      <c r="H299" s="16" t="s">
        <v>725</v>
      </c>
      <c r="I299" s="65" t="s">
        <v>728</v>
      </c>
      <c r="J299" s="65" t="s">
        <v>729</v>
      </c>
      <c r="K299" s="13"/>
      <c r="L299" s="13"/>
      <c r="M299" s="13"/>
      <c r="N299" s="74"/>
      <c r="O299" s="74"/>
      <c r="P299" s="74"/>
      <c r="Q299" s="74">
        <v>3</v>
      </c>
      <c r="R299" s="74">
        <v>0</v>
      </c>
      <c r="S299" s="74"/>
      <c r="T299" s="74"/>
      <c r="U299" s="74"/>
      <c r="V299" s="74"/>
      <c r="W299" s="74"/>
    </row>
    <row r="300" spans="1:23" x14ac:dyDescent="0.25">
      <c r="A300" s="13" t="s">
        <v>854</v>
      </c>
      <c r="B300" s="14">
        <f>0.55*0.15*100</f>
        <v>8.25</v>
      </c>
      <c r="C300" s="14">
        <f xml:space="preserve"> 55</f>
        <v>55</v>
      </c>
      <c r="D300" s="14">
        <f>SUM(B300:C300)</f>
        <v>63.25</v>
      </c>
      <c r="E300" s="15">
        <v>1</v>
      </c>
      <c r="F300" s="13" t="s">
        <v>716</v>
      </c>
      <c r="G300" s="13" t="s">
        <v>731</v>
      </c>
      <c r="H300" s="16" t="s">
        <v>725</v>
      </c>
      <c r="I300" s="65" t="s">
        <v>746</v>
      </c>
      <c r="J300" s="65" t="s">
        <v>745</v>
      </c>
      <c r="K300" s="13" t="s">
        <v>896</v>
      </c>
      <c r="L300" s="15" t="s">
        <v>770</v>
      </c>
      <c r="M300" s="13" t="s">
        <v>895</v>
      </c>
      <c r="N300" s="74"/>
      <c r="O300" s="74"/>
      <c r="P300" s="74"/>
      <c r="Q300" s="74"/>
      <c r="R300" s="74"/>
      <c r="S300" s="74"/>
      <c r="T300" s="74"/>
      <c r="U300" s="74"/>
      <c r="V300" s="74"/>
      <c r="W300" s="74"/>
    </row>
    <row r="301" spans="1:23" x14ac:dyDescent="0.25">
      <c r="A301" s="13" t="s">
        <v>854</v>
      </c>
      <c r="B301" s="14" t="s">
        <v>731</v>
      </c>
      <c r="C301" s="14" t="s">
        <v>731</v>
      </c>
      <c r="D301" s="14">
        <v>100</v>
      </c>
      <c r="E301" s="15">
        <v>1</v>
      </c>
      <c r="F301" s="13" t="s">
        <v>716</v>
      </c>
      <c r="G301" s="13" t="s">
        <v>731</v>
      </c>
      <c r="H301" s="16" t="s">
        <v>725</v>
      </c>
      <c r="I301" s="65" t="s">
        <v>749</v>
      </c>
      <c r="J301" s="65" t="s">
        <v>748</v>
      </c>
      <c r="K301" s="13" t="s">
        <v>764</v>
      </c>
      <c r="L301" s="13" t="s">
        <v>748</v>
      </c>
      <c r="M301" s="13" t="s">
        <v>747</v>
      </c>
      <c r="N301" s="74"/>
      <c r="O301" s="74"/>
      <c r="P301" s="74"/>
      <c r="Q301" s="74"/>
      <c r="R301" s="74"/>
      <c r="S301" s="74"/>
      <c r="T301" s="74"/>
      <c r="U301" s="74"/>
      <c r="V301" s="74"/>
      <c r="W301" s="74"/>
    </row>
    <row r="302" spans="1:23" x14ac:dyDescent="0.25">
      <c r="A302" s="13" t="s">
        <v>854</v>
      </c>
      <c r="B302" s="14">
        <v>5</v>
      </c>
      <c r="C302" s="14" t="s">
        <v>731</v>
      </c>
      <c r="D302" s="14">
        <f t="shared" ref="D302:D305" si="19">SUM(B302:C302)</f>
        <v>5</v>
      </c>
      <c r="E302" s="15">
        <v>1</v>
      </c>
      <c r="F302" s="13" t="s">
        <v>716</v>
      </c>
      <c r="G302" s="13" t="s">
        <v>731</v>
      </c>
      <c r="H302" s="16" t="s">
        <v>725</v>
      </c>
      <c r="I302" s="65" t="s">
        <v>794</v>
      </c>
      <c r="J302" s="65" t="s">
        <v>802</v>
      </c>
      <c r="K302" s="13" t="s">
        <v>811</v>
      </c>
      <c r="L302" s="103" t="s">
        <v>802</v>
      </c>
      <c r="M302" s="13" t="s">
        <v>806</v>
      </c>
      <c r="N302" s="74"/>
      <c r="O302" s="74"/>
      <c r="P302" s="74"/>
      <c r="Q302" s="74"/>
      <c r="R302" s="74"/>
      <c r="S302" s="74"/>
      <c r="T302" s="74"/>
      <c r="U302" s="74"/>
      <c r="V302" s="74"/>
      <c r="W302" s="74"/>
    </row>
    <row r="303" spans="1:23" x14ac:dyDescent="0.25">
      <c r="A303" s="13" t="s">
        <v>854</v>
      </c>
      <c r="B303" s="14" t="s">
        <v>731</v>
      </c>
      <c r="C303" s="14">
        <f>100-25</f>
        <v>75</v>
      </c>
      <c r="D303" s="14">
        <f t="shared" si="19"/>
        <v>75</v>
      </c>
      <c r="E303" s="15">
        <v>1</v>
      </c>
      <c r="F303" s="13" t="s">
        <v>716</v>
      </c>
      <c r="G303" s="13" t="s">
        <v>731</v>
      </c>
      <c r="H303" s="16" t="s">
        <v>1171</v>
      </c>
      <c r="I303" s="65" t="s">
        <v>1096</v>
      </c>
      <c r="J303" s="65" t="s">
        <v>1166</v>
      </c>
      <c r="K303" s="13"/>
      <c r="L303" s="13"/>
      <c r="M303" s="13"/>
      <c r="N303" s="74"/>
      <c r="O303" s="74"/>
      <c r="P303" s="74"/>
      <c r="Q303" s="74"/>
      <c r="R303" s="74"/>
      <c r="S303" s="74"/>
      <c r="T303" s="74"/>
      <c r="U303" s="74"/>
      <c r="V303" s="74"/>
      <c r="W303" s="74"/>
    </row>
    <row r="304" spans="1:23" x14ac:dyDescent="0.25">
      <c r="A304" s="13" t="s">
        <v>854</v>
      </c>
      <c r="B304" s="14">
        <v>3.5</v>
      </c>
      <c r="C304" s="18">
        <f>AVERAGE(C295,C300)</f>
        <v>61.75</v>
      </c>
      <c r="D304" s="14">
        <f t="shared" si="19"/>
        <v>65.25</v>
      </c>
      <c r="E304" s="13">
        <v>1</v>
      </c>
      <c r="F304" s="13" t="s">
        <v>716</v>
      </c>
      <c r="G304" s="13" t="s">
        <v>731</v>
      </c>
      <c r="H304" s="13" t="s">
        <v>13</v>
      </c>
      <c r="I304" s="65" t="s">
        <v>993</v>
      </c>
      <c r="J304" s="65" t="s">
        <v>731</v>
      </c>
      <c r="K304" s="13"/>
      <c r="L304" s="13"/>
      <c r="M304" s="13"/>
      <c r="N304" s="74"/>
      <c r="O304" s="74"/>
      <c r="P304" s="74"/>
      <c r="Q304" s="74"/>
      <c r="R304" s="74"/>
      <c r="S304" s="74"/>
      <c r="T304" s="74"/>
      <c r="U304" s="74"/>
      <c r="V304" s="74"/>
      <c r="W304" s="74"/>
    </row>
    <row r="305" spans="1:23" x14ac:dyDescent="0.25">
      <c r="A305" s="13" t="s">
        <v>854</v>
      </c>
      <c r="B305" s="14">
        <v>4.5</v>
      </c>
      <c r="C305" s="18">
        <f>AVERAGE(C295,C300)</f>
        <v>61.75</v>
      </c>
      <c r="D305" s="14">
        <f t="shared" si="19"/>
        <v>66.25</v>
      </c>
      <c r="E305" s="13">
        <v>6</v>
      </c>
      <c r="F305" s="13" t="s">
        <v>716</v>
      </c>
      <c r="G305" s="13" t="s">
        <v>731</v>
      </c>
      <c r="H305" s="13" t="s">
        <v>13</v>
      </c>
      <c r="I305" s="65" t="s">
        <v>1098</v>
      </c>
      <c r="J305" s="65" t="s">
        <v>1097</v>
      </c>
      <c r="K305" s="13"/>
      <c r="L305" s="13"/>
      <c r="M305" s="13"/>
      <c r="N305" s="74"/>
      <c r="O305" s="74"/>
      <c r="P305" s="74"/>
      <c r="Q305" s="74"/>
      <c r="R305" s="74"/>
      <c r="S305" s="74"/>
      <c r="T305" s="74"/>
      <c r="U305" s="74"/>
      <c r="V305" s="74"/>
      <c r="W305" s="74"/>
    </row>
    <row r="306" spans="1:23" x14ac:dyDescent="0.25">
      <c r="A306" s="21" t="s">
        <v>856</v>
      </c>
      <c r="B306" s="33">
        <f>0.95*71</f>
        <v>67.45</v>
      </c>
      <c r="C306" s="33">
        <v>29</v>
      </c>
      <c r="D306" s="33">
        <f>SUM(B306:C306)</f>
        <v>96.45</v>
      </c>
      <c r="E306" s="25">
        <v>1</v>
      </c>
      <c r="F306" s="21" t="s">
        <v>716</v>
      </c>
      <c r="G306" s="21" t="s">
        <v>218</v>
      </c>
      <c r="H306" s="23" t="s">
        <v>725</v>
      </c>
      <c r="I306" s="65" t="s">
        <v>812</v>
      </c>
      <c r="J306" s="65" t="s">
        <v>731</v>
      </c>
      <c r="K306" s="21" t="s">
        <v>857</v>
      </c>
      <c r="L306" s="21"/>
      <c r="M306" s="21" t="s">
        <v>916</v>
      </c>
      <c r="N306" s="98"/>
      <c r="O306" s="98"/>
      <c r="P306" s="98"/>
      <c r="Q306" s="87"/>
      <c r="R306" s="87"/>
      <c r="S306" s="87"/>
      <c r="T306" s="87"/>
      <c r="U306" s="87"/>
      <c r="V306" s="87"/>
      <c r="W306" s="87"/>
    </row>
    <row r="307" spans="1:23" x14ac:dyDescent="0.25">
      <c r="A307" s="21" t="s">
        <v>856</v>
      </c>
      <c r="B307" s="22" t="s">
        <v>731</v>
      </c>
      <c r="C307" s="22" t="s">
        <v>731</v>
      </c>
      <c r="D307" s="22">
        <v>95</v>
      </c>
      <c r="E307" s="25">
        <v>1</v>
      </c>
      <c r="F307" s="21" t="s">
        <v>716</v>
      </c>
      <c r="G307" s="21" t="s">
        <v>731</v>
      </c>
      <c r="H307" s="23" t="s">
        <v>725</v>
      </c>
      <c r="I307" s="65" t="s">
        <v>737</v>
      </c>
      <c r="J307" s="66" t="s">
        <v>736</v>
      </c>
      <c r="K307" s="21"/>
      <c r="L307" s="21"/>
      <c r="M307" s="21" t="s">
        <v>735</v>
      </c>
      <c r="N307" s="87"/>
      <c r="O307" s="87"/>
      <c r="P307" s="87"/>
      <c r="Q307" s="87"/>
      <c r="R307" s="87"/>
      <c r="S307" s="87"/>
      <c r="T307" s="87"/>
      <c r="U307" s="87"/>
      <c r="V307" s="87"/>
      <c r="W307" s="87"/>
    </row>
    <row r="308" spans="1:23" x14ac:dyDescent="0.25">
      <c r="A308" s="21" t="s">
        <v>856</v>
      </c>
      <c r="B308" s="22">
        <v>24</v>
      </c>
      <c r="C308" s="22" t="s">
        <v>731</v>
      </c>
      <c r="D308" s="33">
        <f>SUM(B308:C308)</f>
        <v>24</v>
      </c>
      <c r="E308" s="25">
        <v>1</v>
      </c>
      <c r="F308" s="21" t="s">
        <v>716</v>
      </c>
      <c r="G308" s="21" t="s">
        <v>731</v>
      </c>
      <c r="H308" s="23" t="s">
        <v>725</v>
      </c>
      <c r="I308" s="65" t="s">
        <v>739</v>
      </c>
      <c r="J308" s="65" t="s">
        <v>738</v>
      </c>
      <c r="K308" s="21"/>
      <c r="L308" s="21"/>
      <c r="M308" s="21" t="s">
        <v>872</v>
      </c>
      <c r="N308" s="87"/>
      <c r="O308" s="87"/>
      <c r="P308" s="87"/>
      <c r="Q308" s="87"/>
      <c r="R308" s="87"/>
      <c r="S308" s="87"/>
      <c r="T308" s="87"/>
      <c r="U308" s="87"/>
      <c r="V308" s="87"/>
      <c r="W308" s="87"/>
    </row>
    <row r="309" spans="1:23" x14ac:dyDescent="0.25">
      <c r="A309" s="21" t="s">
        <v>856</v>
      </c>
      <c r="B309" s="22" t="s">
        <v>731</v>
      </c>
      <c r="C309" s="22" t="s">
        <v>731</v>
      </c>
      <c r="D309" s="22">
        <v>100</v>
      </c>
      <c r="E309" s="25">
        <v>1</v>
      </c>
      <c r="F309" s="21" t="s">
        <v>716</v>
      </c>
      <c r="G309" s="21" t="s">
        <v>731</v>
      </c>
      <c r="H309" s="23" t="s">
        <v>725</v>
      </c>
      <c r="I309" s="65" t="s">
        <v>791</v>
      </c>
      <c r="J309" s="65" t="s">
        <v>800</v>
      </c>
      <c r="K309" s="21" t="s">
        <v>809</v>
      </c>
      <c r="L309" s="21"/>
      <c r="M309" s="21" t="s">
        <v>876</v>
      </c>
      <c r="N309" s="87"/>
      <c r="O309" s="87"/>
      <c r="P309" s="87"/>
      <c r="Q309" s="87"/>
      <c r="R309" s="87">
        <v>0</v>
      </c>
      <c r="S309" s="87"/>
      <c r="T309" s="87"/>
      <c r="U309" s="87"/>
      <c r="V309" s="87"/>
      <c r="W309" s="87"/>
    </row>
    <row r="310" spans="1:23" x14ac:dyDescent="0.25">
      <c r="A310" s="21" t="s">
        <v>856</v>
      </c>
      <c r="B310" s="22">
        <f>(68+95)/2</f>
        <v>81.5</v>
      </c>
      <c r="C310" s="22">
        <f>(11+24)/2</f>
        <v>17.5</v>
      </c>
      <c r="D310" s="22">
        <f>SUM(B310:C310)</f>
        <v>99</v>
      </c>
      <c r="E310" s="25">
        <v>1</v>
      </c>
      <c r="F310" s="21" t="s">
        <v>716</v>
      </c>
      <c r="G310" s="21" t="s">
        <v>731</v>
      </c>
      <c r="H310" s="23" t="s">
        <v>725</v>
      </c>
      <c r="I310" s="65" t="s">
        <v>728</v>
      </c>
      <c r="J310" s="65" t="s">
        <v>729</v>
      </c>
      <c r="K310" s="21"/>
      <c r="L310" s="21"/>
      <c r="M310" s="21"/>
      <c r="N310" s="87"/>
      <c r="O310" s="87"/>
      <c r="P310" s="87"/>
      <c r="Q310" s="87">
        <v>2</v>
      </c>
      <c r="R310" s="87"/>
      <c r="S310" s="87"/>
      <c r="T310" s="87"/>
      <c r="U310" s="87"/>
      <c r="V310" s="87"/>
      <c r="W310" s="87"/>
    </row>
    <row r="311" spans="1:23" x14ac:dyDescent="0.25">
      <c r="A311" s="21" t="s">
        <v>856</v>
      </c>
      <c r="B311" s="22" t="s">
        <v>731</v>
      </c>
      <c r="C311" s="22" t="s">
        <v>731</v>
      </c>
      <c r="D311" s="22">
        <v>100</v>
      </c>
      <c r="E311" s="25">
        <v>1</v>
      </c>
      <c r="F311" s="21" t="s">
        <v>716</v>
      </c>
      <c r="G311" s="21" t="s">
        <v>731</v>
      </c>
      <c r="H311" s="23" t="s">
        <v>725</v>
      </c>
      <c r="I311" s="65" t="s">
        <v>741</v>
      </c>
      <c r="J311" s="65" t="s">
        <v>740</v>
      </c>
      <c r="K311" s="21" t="s">
        <v>866</v>
      </c>
      <c r="L311" s="21"/>
      <c r="M311" s="21" t="s">
        <v>883</v>
      </c>
      <c r="N311" s="87"/>
      <c r="O311" s="87"/>
      <c r="P311" s="87"/>
      <c r="Q311" s="87"/>
      <c r="R311" s="87"/>
      <c r="S311" s="87"/>
      <c r="T311" s="87"/>
      <c r="U311" s="87"/>
      <c r="V311" s="87"/>
      <c r="W311" s="87"/>
    </row>
    <row r="312" spans="1:23" x14ac:dyDescent="0.25">
      <c r="A312" s="21" t="s">
        <v>856</v>
      </c>
      <c r="B312" s="22" t="s">
        <v>731</v>
      </c>
      <c r="C312" s="22">
        <v>32.5</v>
      </c>
      <c r="D312" s="33" t="s">
        <v>731</v>
      </c>
      <c r="E312" s="21">
        <v>1</v>
      </c>
      <c r="F312" s="21" t="s">
        <v>716</v>
      </c>
      <c r="G312" s="21" t="s">
        <v>731</v>
      </c>
      <c r="H312" s="21" t="s">
        <v>59</v>
      </c>
      <c r="I312" s="65" t="s">
        <v>993</v>
      </c>
      <c r="J312" s="65" t="s">
        <v>731</v>
      </c>
      <c r="K312" s="21"/>
      <c r="L312" s="21"/>
      <c r="M312" s="21"/>
      <c r="N312" s="87"/>
      <c r="O312" s="87"/>
      <c r="P312" s="87"/>
      <c r="Q312" s="87"/>
      <c r="R312" s="87"/>
      <c r="S312" s="87"/>
      <c r="T312" s="87"/>
      <c r="U312" s="87"/>
      <c r="V312" s="87"/>
      <c r="W312" s="87"/>
    </row>
    <row r="313" spans="1:23" x14ac:dyDescent="0.25">
      <c r="A313" s="21" t="s">
        <v>856</v>
      </c>
      <c r="B313" s="22" t="s">
        <v>731</v>
      </c>
      <c r="C313" s="22">
        <v>30</v>
      </c>
      <c r="D313" s="22">
        <v>61</v>
      </c>
      <c r="E313" s="25">
        <v>1</v>
      </c>
      <c r="F313" s="21" t="s">
        <v>716</v>
      </c>
      <c r="G313" s="21" t="s">
        <v>731</v>
      </c>
      <c r="H313" s="21" t="s">
        <v>725</v>
      </c>
      <c r="I313" s="65" t="s">
        <v>1085</v>
      </c>
      <c r="J313" s="65" t="s">
        <v>731</v>
      </c>
      <c r="K313" s="21"/>
      <c r="L313" s="21"/>
      <c r="M313" s="21" t="s">
        <v>1101</v>
      </c>
      <c r="N313" s="87"/>
      <c r="O313" s="87"/>
      <c r="P313" s="87"/>
      <c r="Q313" s="87"/>
      <c r="R313" s="87"/>
      <c r="S313" s="87"/>
      <c r="T313" s="87"/>
      <c r="U313" s="87"/>
      <c r="V313" s="87"/>
      <c r="W313" s="87"/>
    </row>
    <row r="314" spans="1:23" x14ac:dyDescent="0.25">
      <c r="A314" s="13" t="s">
        <v>858</v>
      </c>
      <c r="B314" s="14" t="s">
        <v>731</v>
      </c>
      <c r="C314" s="14" t="s">
        <v>731</v>
      </c>
      <c r="D314" s="14" t="s">
        <v>731</v>
      </c>
      <c r="E314" s="13">
        <v>8</v>
      </c>
      <c r="F314" s="13" t="s">
        <v>716</v>
      </c>
      <c r="G314" s="13"/>
      <c r="H314" s="13" t="s">
        <v>13</v>
      </c>
      <c r="I314" s="65" t="s">
        <v>926</v>
      </c>
      <c r="J314" s="65" t="s">
        <v>1162</v>
      </c>
      <c r="K314" s="13" t="s">
        <v>984</v>
      </c>
      <c r="L314" s="13" t="s">
        <v>821</v>
      </c>
      <c r="M314" s="13"/>
      <c r="N314" s="74"/>
      <c r="O314" s="74"/>
      <c r="P314" s="74"/>
      <c r="Q314" s="74">
        <v>36.200000000000003</v>
      </c>
      <c r="R314" s="74">
        <v>22.1</v>
      </c>
      <c r="S314" s="74">
        <v>0</v>
      </c>
      <c r="T314" s="74"/>
      <c r="U314" s="74"/>
      <c r="V314" s="74"/>
      <c r="W314" s="74"/>
    </row>
    <row r="315" spans="1:23" x14ac:dyDescent="0.25">
      <c r="A315" s="13" t="s">
        <v>858</v>
      </c>
      <c r="B315" s="14">
        <v>12.1</v>
      </c>
      <c r="C315" s="14" t="s">
        <v>731</v>
      </c>
      <c r="D315" s="28">
        <f t="shared" ref="D315:D318" si="20">SUM(B315:C315)</f>
        <v>12.1</v>
      </c>
      <c r="E315" s="13">
        <v>4</v>
      </c>
      <c r="F315" s="13" t="s">
        <v>716</v>
      </c>
      <c r="G315" s="13"/>
      <c r="H315" s="13" t="s">
        <v>13</v>
      </c>
      <c r="I315" s="65" t="s">
        <v>929</v>
      </c>
      <c r="J315" s="65" t="s">
        <v>1162</v>
      </c>
      <c r="K315" s="13" t="s">
        <v>984</v>
      </c>
      <c r="L315" s="13" t="s">
        <v>821</v>
      </c>
      <c r="M315" s="13"/>
      <c r="N315" s="74"/>
      <c r="O315" s="74"/>
      <c r="P315" s="74"/>
      <c r="Q315" s="74">
        <v>43.8</v>
      </c>
      <c r="R315" s="74">
        <v>25.3</v>
      </c>
      <c r="S315" s="74">
        <v>0</v>
      </c>
      <c r="T315" s="74"/>
      <c r="U315" s="74"/>
      <c r="V315" s="74"/>
      <c r="W315" s="74">
        <f>SUM(Q315:S315)+B315</f>
        <v>81.199999999999989</v>
      </c>
    </row>
    <row r="316" spans="1:23" x14ac:dyDescent="0.25">
      <c r="A316" s="13" t="s">
        <v>858</v>
      </c>
      <c r="B316" s="14">
        <v>10.7</v>
      </c>
      <c r="C316" s="14" t="s">
        <v>731</v>
      </c>
      <c r="D316" s="28">
        <f t="shared" si="20"/>
        <v>10.7</v>
      </c>
      <c r="E316" s="13">
        <v>4</v>
      </c>
      <c r="F316" s="13" t="s">
        <v>716</v>
      </c>
      <c r="G316" s="13"/>
      <c r="H316" s="13" t="s">
        <v>13</v>
      </c>
      <c r="I316" s="65" t="s">
        <v>929</v>
      </c>
      <c r="J316" s="65" t="s">
        <v>1162</v>
      </c>
      <c r="K316" s="13" t="s">
        <v>984</v>
      </c>
      <c r="L316" s="13" t="s">
        <v>821</v>
      </c>
      <c r="M316" s="13"/>
      <c r="N316" s="74"/>
      <c r="O316" s="74"/>
      <c r="P316" s="74"/>
      <c r="Q316" s="74">
        <v>44.2</v>
      </c>
      <c r="R316" s="74">
        <v>24.4</v>
      </c>
      <c r="S316" s="74">
        <v>0</v>
      </c>
      <c r="T316" s="74"/>
      <c r="U316" s="74"/>
      <c r="V316" s="74"/>
      <c r="W316" s="74">
        <f>SUM(Q316:S316)+B316</f>
        <v>79.3</v>
      </c>
    </row>
    <row r="317" spans="1:23" x14ac:dyDescent="0.25">
      <c r="A317" s="13" t="s">
        <v>858</v>
      </c>
      <c r="B317" s="14">
        <v>11.5</v>
      </c>
      <c r="C317" s="14" t="s">
        <v>731</v>
      </c>
      <c r="D317" s="28">
        <f t="shared" si="20"/>
        <v>11.5</v>
      </c>
      <c r="E317" s="13">
        <v>4</v>
      </c>
      <c r="F317" s="13" t="s">
        <v>716</v>
      </c>
      <c r="G317" s="13"/>
      <c r="H317" s="13" t="s">
        <v>13</v>
      </c>
      <c r="I317" s="65" t="s">
        <v>929</v>
      </c>
      <c r="J317" s="65" t="s">
        <v>1162</v>
      </c>
      <c r="K317" s="13" t="s">
        <v>984</v>
      </c>
      <c r="L317" s="13" t="s">
        <v>821</v>
      </c>
      <c r="M317" s="13"/>
      <c r="N317" s="74"/>
      <c r="O317" s="74"/>
      <c r="P317" s="74"/>
      <c r="Q317" s="74">
        <v>49.2</v>
      </c>
      <c r="R317" s="74">
        <v>25.7</v>
      </c>
      <c r="S317" s="74">
        <v>0</v>
      </c>
      <c r="T317" s="74"/>
      <c r="U317" s="74"/>
      <c r="V317" s="74"/>
      <c r="W317" s="74">
        <f>SUM(Q317:S317)+B317</f>
        <v>86.4</v>
      </c>
    </row>
    <row r="318" spans="1:23" x14ac:dyDescent="0.25">
      <c r="A318" s="13" t="s">
        <v>858</v>
      </c>
      <c r="B318" s="14">
        <v>11.4</v>
      </c>
      <c r="C318" s="14" t="s">
        <v>731</v>
      </c>
      <c r="D318" s="28">
        <f t="shared" si="20"/>
        <v>11.4</v>
      </c>
      <c r="E318" s="13">
        <v>4</v>
      </c>
      <c r="F318" s="13" t="s">
        <v>716</v>
      </c>
      <c r="G318" s="13"/>
      <c r="H318" s="13" t="s">
        <v>13</v>
      </c>
      <c r="I318" s="65" t="s">
        <v>929</v>
      </c>
      <c r="J318" s="65" t="s">
        <v>1162</v>
      </c>
      <c r="K318" s="13" t="s">
        <v>984</v>
      </c>
      <c r="L318" s="13" t="s">
        <v>821</v>
      </c>
      <c r="M318" s="13"/>
      <c r="N318" s="74"/>
      <c r="O318" s="74"/>
      <c r="P318" s="74"/>
      <c r="Q318" s="74">
        <v>46.3</v>
      </c>
      <c r="R318" s="74">
        <v>24.5</v>
      </c>
      <c r="S318" s="74">
        <v>0</v>
      </c>
      <c r="T318" s="74"/>
      <c r="U318" s="74"/>
      <c r="V318" s="74"/>
      <c r="W318" s="74">
        <f>SUM(Q318:S318)+B318</f>
        <v>82.2</v>
      </c>
    </row>
    <row r="319" spans="1:23" x14ac:dyDescent="0.25">
      <c r="A319" s="13" t="s">
        <v>858</v>
      </c>
      <c r="B319" s="28">
        <v>1</v>
      </c>
      <c r="C319" s="14">
        <v>20</v>
      </c>
      <c r="D319" s="28">
        <f>SUM(B319:C319)</f>
        <v>21</v>
      </c>
      <c r="E319" s="15">
        <v>1</v>
      </c>
      <c r="F319" s="13" t="s">
        <v>716</v>
      </c>
      <c r="G319" s="13" t="s">
        <v>731</v>
      </c>
      <c r="H319" s="16" t="s">
        <v>725</v>
      </c>
      <c r="I319" s="65" t="s">
        <v>767</v>
      </c>
      <c r="J319" s="65" t="s">
        <v>731</v>
      </c>
      <c r="K319" s="13">
        <v>21</v>
      </c>
      <c r="L319" s="13"/>
      <c r="M319" s="13" t="s">
        <v>859</v>
      </c>
      <c r="N319" s="77"/>
      <c r="O319" s="77"/>
      <c r="P319" s="77"/>
      <c r="Q319" s="74"/>
      <c r="R319" s="74"/>
      <c r="S319" s="74"/>
      <c r="T319" s="74"/>
      <c r="U319" s="74"/>
      <c r="V319" s="74"/>
      <c r="W319" s="74"/>
    </row>
    <row r="320" spans="1:23" x14ac:dyDescent="0.25">
      <c r="A320" s="13" t="s">
        <v>858</v>
      </c>
      <c r="B320" s="14">
        <v>8.6</v>
      </c>
      <c r="C320" s="14" t="s">
        <v>731</v>
      </c>
      <c r="D320" s="28">
        <f t="shared" ref="D320:D340" si="21">SUM(B320:C320)</f>
        <v>8.6</v>
      </c>
      <c r="E320" s="13">
        <v>11</v>
      </c>
      <c r="F320" s="13" t="s">
        <v>716</v>
      </c>
      <c r="G320" s="13"/>
      <c r="H320" s="13" t="s">
        <v>13</v>
      </c>
      <c r="I320" s="65" t="s">
        <v>932</v>
      </c>
      <c r="J320" s="65" t="s">
        <v>1162</v>
      </c>
      <c r="K320" s="13" t="s">
        <v>984</v>
      </c>
      <c r="L320" s="13" t="s">
        <v>821</v>
      </c>
      <c r="M320" s="13"/>
      <c r="N320" s="74"/>
      <c r="O320" s="74"/>
      <c r="P320" s="74"/>
      <c r="Q320" s="74">
        <v>33</v>
      </c>
      <c r="R320" s="74">
        <v>19</v>
      </c>
      <c r="S320" s="74">
        <v>0</v>
      </c>
      <c r="T320" s="74"/>
      <c r="U320" s="74"/>
      <c r="V320" s="74"/>
      <c r="W320" s="74"/>
    </row>
    <row r="321" spans="1:23" x14ac:dyDescent="0.25">
      <c r="A321" s="13" t="s">
        <v>858</v>
      </c>
      <c r="B321" s="18">
        <v>25</v>
      </c>
      <c r="C321" s="14" t="s">
        <v>731</v>
      </c>
      <c r="D321" s="31">
        <f t="shared" si="21"/>
        <v>25</v>
      </c>
      <c r="E321" s="15">
        <v>1</v>
      </c>
      <c r="F321" s="13" t="s">
        <v>716</v>
      </c>
      <c r="G321" s="13" t="s">
        <v>731</v>
      </c>
      <c r="H321" s="16" t="s">
        <v>725</v>
      </c>
      <c r="I321" s="65" t="s">
        <v>732</v>
      </c>
      <c r="J321" s="65" t="s">
        <v>733</v>
      </c>
      <c r="K321" s="13" t="s">
        <v>734</v>
      </c>
      <c r="L321" s="13" t="s">
        <v>733</v>
      </c>
      <c r="M321" s="13" t="s">
        <v>753</v>
      </c>
      <c r="N321" s="75"/>
      <c r="O321" s="75"/>
      <c r="P321" s="75"/>
      <c r="Q321" s="74"/>
      <c r="R321" s="74"/>
      <c r="S321" s="74"/>
      <c r="T321" s="74"/>
      <c r="U321" s="74"/>
      <c r="V321" s="74"/>
      <c r="W321" s="74">
        <v>25</v>
      </c>
    </row>
    <row r="322" spans="1:23" x14ac:dyDescent="0.25">
      <c r="A322" s="13" t="s">
        <v>858</v>
      </c>
      <c r="B322" s="14">
        <v>10</v>
      </c>
      <c r="C322" s="14" t="s">
        <v>731</v>
      </c>
      <c r="D322" s="28">
        <f t="shared" si="21"/>
        <v>10</v>
      </c>
      <c r="E322" s="15">
        <v>1</v>
      </c>
      <c r="F322" s="13" t="s">
        <v>716</v>
      </c>
      <c r="G322" s="13" t="s">
        <v>731</v>
      </c>
      <c r="H322" s="16" t="s">
        <v>725</v>
      </c>
      <c r="I322" s="65" t="s">
        <v>828</v>
      </c>
      <c r="J322" s="65" t="s">
        <v>770</v>
      </c>
      <c r="K322" s="13" t="s">
        <v>864</v>
      </c>
      <c r="L322" s="13"/>
      <c r="M322" s="13"/>
      <c r="N322" s="74"/>
      <c r="O322" s="74"/>
      <c r="P322" s="74"/>
      <c r="Q322" s="74"/>
      <c r="R322" s="74"/>
      <c r="S322" s="74"/>
      <c r="T322" s="74"/>
      <c r="U322" s="74"/>
      <c r="V322" s="74"/>
      <c r="W322" s="74"/>
    </row>
    <row r="323" spans="1:23" x14ac:dyDescent="0.25">
      <c r="A323" s="13" t="s">
        <v>858</v>
      </c>
      <c r="B323" s="14">
        <v>15</v>
      </c>
      <c r="C323" s="14" t="s">
        <v>731</v>
      </c>
      <c r="D323" s="28">
        <f t="shared" si="21"/>
        <v>15</v>
      </c>
      <c r="E323" s="15">
        <v>1</v>
      </c>
      <c r="F323" s="13" t="s">
        <v>716</v>
      </c>
      <c r="G323" s="13" t="s">
        <v>731</v>
      </c>
      <c r="H323" s="16" t="s">
        <v>725</v>
      </c>
      <c r="I323" s="65" t="s">
        <v>788</v>
      </c>
      <c r="J323" s="65" t="s">
        <v>770</v>
      </c>
      <c r="K323" s="13" t="s">
        <v>808</v>
      </c>
      <c r="L323" s="13"/>
      <c r="M323" s="13" t="s">
        <v>803</v>
      </c>
      <c r="N323" s="74"/>
      <c r="O323" s="74"/>
      <c r="P323" s="74"/>
      <c r="Q323" s="74"/>
      <c r="R323" s="74"/>
      <c r="S323" s="74"/>
      <c r="T323" s="74"/>
      <c r="U323" s="74"/>
      <c r="V323" s="74"/>
      <c r="W323" s="74"/>
    </row>
    <row r="324" spans="1:23" x14ac:dyDescent="0.25">
      <c r="A324" s="13" t="s">
        <v>858</v>
      </c>
      <c r="B324" s="14">
        <v>10</v>
      </c>
      <c r="C324" s="14" t="s">
        <v>731</v>
      </c>
      <c r="D324" s="28">
        <f t="shared" si="21"/>
        <v>10</v>
      </c>
      <c r="E324" s="15">
        <v>1</v>
      </c>
      <c r="F324" s="13" t="s">
        <v>716</v>
      </c>
      <c r="G324" s="13" t="s">
        <v>731</v>
      </c>
      <c r="H324" s="16" t="s">
        <v>725</v>
      </c>
      <c r="I324" s="65" t="s">
        <v>754</v>
      </c>
      <c r="J324" s="66" t="s">
        <v>736</v>
      </c>
      <c r="K324" s="13"/>
      <c r="L324" s="13"/>
      <c r="M324" s="13" t="s">
        <v>735</v>
      </c>
      <c r="N324" s="74"/>
      <c r="O324" s="74"/>
      <c r="P324" s="74"/>
      <c r="Q324" s="74"/>
      <c r="R324" s="74"/>
      <c r="S324" s="74"/>
      <c r="T324" s="74"/>
      <c r="U324" s="74"/>
      <c r="V324" s="74"/>
      <c r="W324" s="74"/>
    </row>
    <row r="325" spans="1:23" x14ac:dyDescent="0.25">
      <c r="A325" s="13" t="s">
        <v>858</v>
      </c>
      <c r="B325" s="14">
        <v>13</v>
      </c>
      <c r="C325" s="14" t="s">
        <v>731</v>
      </c>
      <c r="D325" s="28">
        <f t="shared" si="21"/>
        <v>13</v>
      </c>
      <c r="E325" s="13">
        <v>15</v>
      </c>
      <c r="F325" s="13" t="s">
        <v>716</v>
      </c>
      <c r="G325" s="13"/>
      <c r="H325" s="13" t="s">
        <v>13</v>
      </c>
      <c r="I325" s="65" t="s">
        <v>933</v>
      </c>
      <c r="J325" s="65" t="s">
        <v>1162</v>
      </c>
      <c r="K325" s="13" t="s">
        <v>984</v>
      </c>
      <c r="L325" s="13" t="s">
        <v>821</v>
      </c>
      <c r="M325" s="13"/>
      <c r="N325" s="74"/>
      <c r="O325" s="74"/>
      <c r="P325" s="74"/>
      <c r="Q325" s="74">
        <v>45</v>
      </c>
      <c r="R325" s="74">
        <v>30</v>
      </c>
      <c r="S325" s="74">
        <v>0</v>
      </c>
      <c r="T325" s="74"/>
      <c r="U325" s="74"/>
      <c r="V325" s="74"/>
      <c r="W325" s="74"/>
    </row>
    <row r="326" spans="1:23" x14ac:dyDescent="0.25">
      <c r="A326" s="13" t="s">
        <v>858</v>
      </c>
      <c r="B326" s="28">
        <f>(1+8)/2</f>
        <v>4.5</v>
      </c>
      <c r="C326" s="14" t="s">
        <v>731</v>
      </c>
      <c r="D326" s="28">
        <f t="shared" si="21"/>
        <v>4.5</v>
      </c>
      <c r="E326" s="15">
        <v>1</v>
      </c>
      <c r="F326" s="13" t="s">
        <v>716</v>
      </c>
      <c r="G326" s="13" t="s">
        <v>731</v>
      </c>
      <c r="H326" s="16" t="s">
        <v>725</v>
      </c>
      <c r="I326" s="65" t="s">
        <v>739</v>
      </c>
      <c r="J326" s="65" t="s">
        <v>738</v>
      </c>
      <c r="K326" s="13"/>
      <c r="L326" s="13"/>
      <c r="M326" s="13" t="s">
        <v>873</v>
      </c>
      <c r="N326" s="77"/>
      <c r="O326" s="77"/>
      <c r="P326" s="77"/>
      <c r="Q326" s="74"/>
      <c r="R326" s="74"/>
      <c r="S326" s="74"/>
      <c r="T326" s="74"/>
      <c r="U326" s="77"/>
      <c r="V326" s="74"/>
      <c r="W326" s="74"/>
    </row>
    <row r="327" spans="1:23" x14ac:dyDescent="0.25">
      <c r="A327" s="13" t="s">
        <v>858</v>
      </c>
      <c r="B327" s="14">
        <f>10+5</f>
        <v>15</v>
      </c>
      <c r="C327" s="14" t="s">
        <v>731</v>
      </c>
      <c r="D327" s="28">
        <f t="shared" si="21"/>
        <v>15</v>
      </c>
      <c r="E327" s="15">
        <v>1</v>
      </c>
      <c r="F327" s="13" t="s">
        <v>716</v>
      </c>
      <c r="G327" s="13" t="s">
        <v>731</v>
      </c>
      <c r="H327" s="16" t="s">
        <v>725</v>
      </c>
      <c r="I327" s="65" t="s">
        <v>791</v>
      </c>
      <c r="J327" s="65" t="s">
        <v>800</v>
      </c>
      <c r="K327" s="13" t="s">
        <v>809</v>
      </c>
      <c r="L327" s="13"/>
      <c r="M327" s="13" t="s">
        <v>876</v>
      </c>
      <c r="N327" s="74"/>
      <c r="O327" s="74"/>
      <c r="P327" s="74"/>
      <c r="Q327" s="74"/>
      <c r="R327" s="74"/>
      <c r="S327" s="74"/>
      <c r="T327" s="74"/>
      <c r="U327" s="74"/>
      <c r="V327" s="74">
        <v>5</v>
      </c>
      <c r="W327" s="74"/>
    </row>
    <row r="328" spans="1:23" x14ac:dyDescent="0.25">
      <c r="A328" s="13" t="s">
        <v>858</v>
      </c>
      <c r="B328" s="14">
        <v>15</v>
      </c>
      <c r="C328" s="14" t="s">
        <v>731</v>
      </c>
      <c r="D328" s="28">
        <f t="shared" si="21"/>
        <v>15</v>
      </c>
      <c r="E328" s="13">
        <v>1</v>
      </c>
      <c r="F328" s="13" t="s">
        <v>716</v>
      </c>
      <c r="G328" s="13"/>
      <c r="H328" s="13" t="s">
        <v>13</v>
      </c>
      <c r="I328" s="65" t="s">
        <v>925</v>
      </c>
      <c r="J328" s="65" t="s">
        <v>1162</v>
      </c>
      <c r="K328" s="13" t="s">
        <v>984</v>
      </c>
      <c r="L328" s="13" t="s">
        <v>821</v>
      </c>
      <c r="M328" s="13"/>
      <c r="N328" s="74"/>
      <c r="O328" s="74"/>
      <c r="P328" s="74"/>
      <c r="Q328" s="74">
        <v>43</v>
      </c>
      <c r="R328" s="74">
        <v>26</v>
      </c>
      <c r="S328" s="74">
        <v>0</v>
      </c>
      <c r="T328" s="74"/>
      <c r="U328" s="74"/>
      <c r="V328" s="74"/>
      <c r="W328" s="74"/>
    </row>
    <row r="329" spans="1:23" x14ac:dyDescent="0.25">
      <c r="A329" s="13" t="s">
        <v>858</v>
      </c>
      <c r="B329" s="14">
        <f>7+9</f>
        <v>16</v>
      </c>
      <c r="C329" s="14">
        <v>23</v>
      </c>
      <c r="D329" s="28">
        <f t="shared" si="21"/>
        <v>39</v>
      </c>
      <c r="E329" s="15">
        <v>1</v>
      </c>
      <c r="F329" s="13" t="s">
        <v>716</v>
      </c>
      <c r="G329" s="13" t="s">
        <v>731</v>
      </c>
      <c r="H329" s="16" t="s">
        <v>725</v>
      </c>
      <c r="I329" s="65" t="s">
        <v>728</v>
      </c>
      <c r="J329" s="65" t="s">
        <v>729</v>
      </c>
      <c r="K329" s="13"/>
      <c r="L329" s="13"/>
      <c r="M329" s="13" t="s">
        <v>881</v>
      </c>
      <c r="N329" s="74"/>
      <c r="O329" s="74"/>
      <c r="P329" s="74"/>
      <c r="Q329" s="74">
        <f>17+31+3+3</f>
        <v>54</v>
      </c>
      <c r="R329" s="74">
        <f>9+16+19</f>
        <v>44</v>
      </c>
      <c r="S329" s="74"/>
      <c r="T329" s="74"/>
      <c r="U329" s="74"/>
      <c r="V329" s="74"/>
      <c r="W329" s="74"/>
    </row>
    <row r="330" spans="1:23" x14ac:dyDescent="0.25">
      <c r="A330" s="13" t="s">
        <v>858</v>
      </c>
      <c r="B330" s="14">
        <v>15</v>
      </c>
      <c r="C330" s="14" t="s">
        <v>731</v>
      </c>
      <c r="D330" s="28">
        <f t="shared" si="21"/>
        <v>15</v>
      </c>
      <c r="E330" s="13">
        <v>1</v>
      </c>
      <c r="F330" s="13" t="s">
        <v>716</v>
      </c>
      <c r="G330" s="13"/>
      <c r="H330" s="13" t="s">
        <v>13</v>
      </c>
      <c r="I330" s="65" t="s">
        <v>927</v>
      </c>
      <c r="J330" s="65" t="s">
        <v>1162</v>
      </c>
      <c r="K330" s="13" t="s">
        <v>984</v>
      </c>
      <c r="L330" s="13" t="s">
        <v>821</v>
      </c>
      <c r="M330" s="13"/>
      <c r="N330" s="74"/>
      <c r="O330" s="74"/>
      <c r="P330" s="74"/>
      <c r="Q330" s="74">
        <v>43</v>
      </c>
      <c r="R330" s="74">
        <v>26</v>
      </c>
      <c r="S330" s="74">
        <v>0</v>
      </c>
      <c r="T330" s="74"/>
      <c r="U330" s="74"/>
      <c r="V330" s="74"/>
      <c r="W330" s="74"/>
    </row>
    <row r="331" spans="1:23" x14ac:dyDescent="0.25">
      <c r="A331" s="13" t="s">
        <v>858</v>
      </c>
      <c r="B331" s="28">
        <v>10</v>
      </c>
      <c r="C331" s="14" t="s">
        <v>731</v>
      </c>
      <c r="D331" s="28">
        <f t="shared" si="21"/>
        <v>10</v>
      </c>
      <c r="E331" s="15">
        <v>1</v>
      </c>
      <c r="F331" s="13" t="s">
        <v>716</v>
      </c>
      <c r="G331" s="13" t="s">
        <v>731</v>
      </c>
      <c r="H331" s="16" t="s">
        <v>725</v>
      </c>
      <c r="I331" s="65" t="s">
        <v>741</v>
      </c>
      <c r="J331" s="65" t="s">
        <v>740</v>
      </c>
      <c r="K331" s="13" t="s">
        <v>886</v>
      </c>
      <c r="L331" s="13"/>
      <c r="M331" s="13" t="s">
        <v>883</v>
      </c>
      <c r="N331" s="83"/>
      <c r="O331" s="83"/>
      <c r="P331" s="83"/>
      <c r="Q331" s="74"/>
      <c r="R331" s="74"/>
      <c r="S331" s="74"/>
      <c r="T331" s="74"/>
      <c r="U331" s="74"/>
      <c r="V331" s="74"/>
      <c r="W331" s="74"/>
    </row>
    <row r="332" spans="1:23" x14ac:dyDescent="0.25">
      <c r="A332" s="13" t="s">
        <v>858</v>
      </c>
      <c r="B332" s="14" t="s">
        <v>731</v>
      </c>
      <c r="C332" s="14" t="s">
        <v>731</v>
      </c>
      <c r="D332" s="28" t="s">
        <v>731</v>
      </c>
      <c r="E332" s="13">
        <v>3</v>
      </c>
      <c r="F332" s="13" t="s">
        <v>716</v>
      </c>
      <c r="G332" s="13"/>
      <c r="H332" s="13" t="s">
        <v>13</v>
      </c>
      <c r="I332" s="65" t="s">
        <v>935</v>
      </c>
      <c r="J332" s="65" t="s">
        <v>1162</v>
      </c>
      <c r="K332" s="13" t="s">
        <v>984</v>
      </c>
      <c r="L332" s="13" t="s">
        <v>821</v>
      </c>
      <c r="M332" s="13"/>
      <c r="N332" s="74"/>
      <c r="O332" s="74"/>
      <c r="P332" s="74"/>
      <c r="Q332" s="74">
        <v>34</v>
      </c>
      <c r="R332" s="74">
        <v>25</v>
      </c>
      <c r="S332" s="74">
        <v>0</v>
      </c>
      <c r="T332" s="74"/>
      <c r="U332" s="74"/>
      <c r="V332" s="74"/>
      <c r="W332" s="74"/>
    </row>
    <row r="333" spans="1:23" x14ac:dyDescent="0.25">
      <c r="A333" s="13" t="s">
        <v>858</v>
      </c>
      <c r="B333" s="14">
        <f>0.85*0.1*100</f>
        <v>8.5</v>
      </c>
      <c r="C333" s="14">
        <v>15</v>
      </c>
      <c r="D333" s="28">
        <f t="shared" si="21"/>
        <v>23.5</v>
      </c>
      <c r="E333" s="15">
        <v>1</v>
      </c>
      <c r="F333" s="13" t="s">
        <v>716</v>
      </c>
      <c r="G333" s="13" t="s">
        <v>731</v>
      </c>
      <c r="H333" s="16" t="s">
        <v>725</v>
      </c>
      <c r="I333" s="65" t="s">
        <v>746</v>
      </c>
      <c r="J333" s="65" t="s">
        <v>745</v>
      </c>
      <c r="K333" s="13" t="s">
        <v>898</v>
      </c>
      <c r="L333" s="15" t="s">
        <v>770</v>
      </c>
      <c r="M333" s="13" t="s">
        <v>897</v>
      </c>
      <c r="N333" s="74"/>
      <c r="O333" s="74"/>
      <c r="P333" s="74"/>
      <c r="Q333" s="74"/>
      <c r="R333" s="74"/>
      <c r="S333" s="74"/>
      <c r="T333" s="74"/>
      <c r="U333" s="74"/>
      <c r="V333" s="74"/>
      <c r="W333" s="74"/>
    </row>
    <row r="334" spans="1:23" x14ac:dyDescent="0.25">
      <c r="A334" s="13" t="s">
        <v>858</v>
      </c>
      <c r="B334" s="14" t="s">
        <v>731</v>
      </c>
      <c r="C334" s="14" t="s">
        <v>731</v>
      </c>
      <c r="D334" s="28">
        <v>26</v>
      </c>
      <c r="E334" s="15">
        <v>1</v>
      </c>
      <c r="F334" s="13" t="s">
        <v>716</v>
      </c>
      <c r="G334" s="13" t="s">
        <v>731</v>
      </c>
      <c r="H334" s="16" t="s">
        <v>725</v>
      </c>
      <c r="I334" s="65" t="s">
        <v>749</v>
      </c>
      <c r="J334" s="65" t="s">
        <v>748</v>
      </c>
      <c r="K334" s="13" t="s">
        <v>764</v>
      </c>
      <c r="L334" s="13"/>
      <c r="M334" s="13" t="s">
        <v>747</v>
      </c>
      <c r="N334" s="74"/>
      <c r="O334" s="74"/>
      <c r="P334" s="74"/>
      <c r="Q334" s="74"/>
      <c r="R334" s="74"/>
      <c r="S334" s="74"/>
      <c r="T334" s="74"/>
      <c r="U334" s="74"/>
      <c r="V334" s="74"/>
      <c r="W334" s="74"/>
    </row>
    <row r="335" spans="1:23" x14ac:dyDescent="0.25">
      <c r="A335" s="13" t="s">
        <v>858</v>
      </c>
      <c r="B335" s="14">
        <v>11</v>
      </c>
      <c r="C335" s="14" t="s">
        <v>731</v>
      </c>
      <c r="D335" s="28">
        <f t="shared" si="21"/>
        <v>11</v>
      </c>
      <c r="E335" s="13">
        <v>12</v>
      </c>
      <c r="F335" s="13" t="s">
        <v>716</v>
      </c>
      <c r="G335" s="13"/>
      <c r="H335" s="13" t="s">
        <v>13</v>
      </c>
      <c r="I335" s="65" t="s">
        <v>930</v>
      </c>
      <c r="J335" s="65" t="s">
        <v>1162</v>
      </c>
      <c r="K335" s="13" t="s">
        <v>984</v>
      </c>
      <c r="L335" s="13" t="s">
        <v>821</v>
      </c>
      <c r="M335" s="13"/>
      <c r="N335" s="74"/>
      <c r="O335" s="74"/>
      <c r="P335" s="74"/>
      <c r="Q335" s="74">
        <v>40.200000000000003</v>
      </c>
      <c r="R335" s="74">
        <v>22.6</v>
      </c>
      <c r="S335" s="74">
        <v>0</v>
      </c>
      <c r="T335" s="74"/>
      <c r="U335" s="74"/>
      <c r="V335" s="74"/>
      <c r="W335" s="74"/>
    </row>
    <row r="336" spans="1:23" x14ac:dyDescent="0.25">
      <c r="A336" s="13" t="s">
        <v>858</v>
      </c>
      <c r="B336" s="14">
        <v>9.8000000000000007</v>
      </c>
      <c r="C336" s="14" t="s">
        <v>731</v>
      </c>
      <c r="D336" s="28">
        <f t="shared" si="21"/>
        <v>9.8000000000000007</v>
      </c>
      <c r="E336" s="13">
        <v>3</v>
      </c>
      <c r="F336" s="13" t="s">
        <v>716</v>
      </c>
      <c r="G336" s="13"/>
      <c r="H336" s="13" t="s">
        <v>13</v>
      </c>
      <c r="I336" s="65" t="s">
        <v>931</v>
      </c>
      <c r="J336" s="65" t="s">
        <v>1162</v>
      </c>
      <c r="K336" s="13" t="s">
        <v>984</v>
      </c>
      <c r="L336" s="13" t="s">
        <v>821</v>
      </c>
      <c r="M336" s="13"/>
      <c r="N336" s="74"/>
      <c r="O336" s="74"/>
      <c r="P336" s="74"/>
      <c r="Q336" s="74">
        <v>39.74</v>
      </c>
      <c r="R336" s="74">
        <v>22.72</v>
      </c>
      <c r="S336" s="74">
        <v>0</v>
      </c>
      <c r="T336" s="74"/>
      <c r="U336" s="74"/>
      <c r="V336" s="74"/>
      <c r="W336" s="74"/>
    </row>
    <row r="337" spans="1:23" x14ac:dyDescent="0.25">
      <c r="A337" s="13" t="s">
        <v>858</v>
      </c>
      <c r="B337" s="14">
        <v>6.26</v>
      </c>
      <c r="C337" s="14" t="s">
        <v>731</v>
      </c>
      <c r="D337" s="28">
        <f t="shared" si="21"/>
        <v>6.26</v>
      </c>
      <c r="E337" s="13">
        <v>10</v>
      </c>
      <c r="F337" s="13" t="s">
        <v>716</v>
      </c>
      <c r="G337" s="13"/>
      <c r="H337" s="13" t="s">
        <v>13</v>
      </c>
      <c r="I337" s="65" t="s">
        <v>934</v>
      </c>
      <c r="J337" s="65" t="s">
        <v>1162</v>
      </c>
      <c r="K337" s="13" t="s">
        <v>984</v>
      </c>
      <c r="L337" s="13" t="s">
        <v>821</v>
      </c>
      <c r="M337" s="13"/>
      <c r="N337" s="74"/>
      <c r="O337" s="74"/>
      <c r="P337" s="74"/>
      <c r="Q337" s="74">
        <v>26.01</v>
      </c>
      <c r="R337" s="74">
        <v>34.92</v>
      </c>
      <c r="S337" s="74">
        <v>0</v>
      </c>
      <c r="T337" s="74"/>
      <c r="U337" s="74"/>
      <c r="V337" s="74"/>
      <c r="W337" s="74"/>
    </row>
    <row r="338" spans="1:23" x14ac:dyDescent="0.25">
      <c r="A338" s="13" t="s">
        <v>858</v>
      </c>
      <c r="B338" s="14">
        <v>15</v>
      </c>
      <c r="C338" s="14" t="s">
        <v>731</v>
      </c>
      <c r="D338" s="28">
        <f t="shared" si="21"/>
        <v>15</v>
      </c>
      <c r="E338" s="13">
        <v>1</v>
      </c>
      <c r="F338" s="13" t="s">
        <v>716</v>
      </c>
      <c r="G338" s="13"/>
      <c r="H338" s="13" t="s">
        <v>13</v>
      </c>
      <c r="I338" s="65" t="s">
        <v>928</v>
      </c>
      <c r="J338" s="65" t="s">
        <v>1162</v>
      </c>
      <c r="K338" s="13" t="s">
        <v>984</v>
      </c>
      <c r="L338" s="13" t="s">
        <v>821</v>
      </c>
      <c r="M338" s="13"/>
      <c r="N338" s="74"/>
      <c r="O338" s="74"/>
      <c r="P338" s="74"/>
      <c r="Q338" s="74">
        <v>43</v>
      </c>
      <c r="R338" s="74">
        <v>26</v>
      </c>
      <c r="S338" s="74">
        <v>0</v>
      </c>
      <c r="T338" s="74"/>
      <c r="U338" s="74"/>
      <c r="V338" s="74"/>
      <c r="W338" s="74"/>
    </row>
    <row r="339" spans="1:23" x14ac:dyDescent="0.25">
      <c r="A339" s="13" t="s">
        <v>858</v>
      </c>
      <c r="B339" s="14">
        <f>(1+8)/2+14</f>
        <v>18.5</v>
      </c>
      <c r="C339" s="14" t="s">
        <v>731</v>
      </c>
      <c r="D339" s="28">
        <f t="shared" si="21"/>
        <v>18.5</v>
      </c>
      <c r="E339" s="15">
        <v>1</v>
      </c>
      <c r="F339" s="13" t="s">
        <v>716</v>
      </c>
      <c r="G339" s="13" t="s">
        <v>731</v>
      </c>
      <c r="H339" s="16" t="s">
        <v>725</v>
      </c>
      <c r="I339" s="65" t="s">
        <v>823</v>
      </c>
      <c r="J339" s="65" t="s">
        <v>923</v>
      </c>
      <c r="K339" s="13" t="s">
        <v>924</v>
      </c>
      <c r="L339" s="13"/>
      <c r="M339" s="13" t="s">
        <v>905</v>
      </c>
      <c r="N339" s="74"/>
      <c r="O339" s="74"/>
      <c r="P339" s="74"/>
      <c r="Q339" s="74"/>
      <c r="R339" s="74"/>
      <c r="S339" s="74"/>
      <c r="T339" s="74"/>
      <c r="U339" s="74"/>
      <c r="V339" s="74">
        <v>14</v>
      </c>
      <c r="W339" s="74"/>
    </row>
    <row r="340" spans="1:23" x14ac:dyDescent="0.25">
      <c r="A340" s="13" t="s">
        <v>858</v>
      </c>
      <c r="B340" s="14">
        <f>1+14</f>
        <v>15</v>
      </c>
      <c r="C340" s="14" t="s">
        <v>731</v>
      </c>
      <c r="D340" s="28">
        <f t="shared" si="21"/>
        <v>15</v>
      </c>
      <c r="E340" s="15">
        <v>1</v>
      </c>
      <c r="F340" s="13" t="s">
        <v>716</v>
      </c>
      <c r="G340" s="13" t="s">
        <v>731</v>
      </c>
      <c r="H340" s="16" t="s">
        <v>13</v>
      </c>
      <c r="I340" s="65" t="s">
        <v>993</v>
      </c>
      <c r="J340" s="65" t="s">
        <v>731</v>
      </c>
      <c r="K340" s="13"/>
      <c r="L340" s="13"/>
      <c r="M340" s="13"/>
      <c r="N340" s="74">
        <v>90</v>
      </c>
      <c r="O340" s="74"/>
      <c r="P340" s="74"/>
      <c r="Q340" s="74"/>
      <c r="R340" s="74"/>
      <c r="S340" s="74"/>
      <c r="T340" s="74"/>
      <c r="U340" s="74"/>
      <c r="V340" s="74">
        <v>14</v>
      </c>
      <c r="W340" s="74"/>
    </row>
    <row r="341" spans="1:23" x14ac:dyDescent="0.25">
      <c r="A341" s="13" t="s">
        <v>858</v>
      </c>
      <c r="B341" s="14">
        <v>9.5500000000000007</v>
      </c>
      <c r="C341" s="14">
        <v>0.15</v>
      </c>
      <c r="D341" s="28">
        <f>SUM(B341:C341)</f>
        <v>9.7000000000000011</v>
      </c>
      <c r="E341" s="20">
        <v>3</v>
      </c>
      <c r="F341" s="13" t="s">
        <v>716</v>
      </c>
      <c r="G341" s="13" t="s">
        <v>731</v>
      </c>
      <c r="H341" s="16" t="s">
        <v>725</v>
      </c>
      <c r="I341" s="65" t="s">
        <v>1100</v>
      </c>
      <c r="J341" s="65" t="s">
        <v>1099</v>
      </c>
      <c r="K341" s="13"/>
      <c r="L341" s="13"/>
      <c r="M341" s="13"/>
      <c r="N341" s="74">
        <v>40.86</v>
      </c>
      <c r="O341" s="74">
        <v>0.67</v>
      </c>
      <c r="P341" s="74">
        <f>SUM(N341:O341)</f>
        <v>41.53</v>
      </c>
      <c r="Q341" s="74"/>
      <c r="R341" s="74"/>
      <c r="S341" s="74"/>
      <c r="T341" s="74"/>
      <c r="U341" s="74"/>
      <c r="V341" s="74"/>
      <c r="W341" s="74"/>
    </row>
    <row r="342" spans="1:23" x14ac:dyDescent="0.25">
      <c r="A342" s="21" t="s">
        <v>860</v>
      </c>
      <c r="B342" s="22">
        <v>13.2</v>
      </c>
      <c r="C342" s="33" t="s">
        <v>731</v>
      </c>
      <c r="D342" s="22">
        <f>SUM(B342:C342)</f>
        <v>13.2</v>
      </c>
      <c r="E342" s="21">
        <v>1</v>
      </c>
      <c r="F342" s="21" t="s">
        <v>716</v>
      </c>
      <c r="G342" s="21"/>
      <c r="H342" s="21" t="s">
        <v>13</v>
      </c>
      <c r="I342" s="65" t="s">
        <v>937</v>
      </c>
      <c r="J342" s="65" t="s">
        <v>1162</v>
      </c>
      <c r="K342" s="21" t="s">
        <v>984</v>
      </c>
      <c r="L342" s="21" t="s">
        <v>821</v>
      </c>
      <c r="M342" s="21"/>
      <c r="N342" s="87"/>
      <c r="O342" s="87"/>
      <c r="P342" s="87"/>
      <c r="Q342" s="87">
        <v>0</v>
      </c>
      <c r="R342" s="87">
        <v>0</v>
      </c>
      <c r="S342" s="87"/>
      <c r="T342" s="87"/>
      <c r="U342" s="87"/>
      <c r="V342" s="87"/>
      <c r="W342" s="87"/>
    </row>
    <row r="343" spans="1:23" x14ac:dyDescent="0.25">
      <c r="A343" s="21" t="s">
        <v>860</v>
      </c>
      <c r="B343" s="22">
        <v>1</v>
      </c>
      <c r="C343" s="33">
        <v>1</v>
      </c>
      <c r="D343" s="33">
        <f>SUM(B343:C343)</f>
        <v>2</v>
      </c>
      <c r="E343" s="25">
        <v>1</v>
      </c>
      <c r="F343" s="21" t="s">
        <v>716</v>
      </c>
      <c r="G343" s="21" t="s">
        <v>731</v>
      </c>
      <c r="H343" s="23" t="s">
        <v>725</v>
      </c>
      <c r="I343" s="65" t="s">
        <v>812</v>
      </c>
      <c r="J343" s="65" t="s">
        <v>731</v>
      </c>
      <c r="K343" s="21">
        <v>21</v>
      </c>
      <c r="L343" s="21"/>
      <c r="M343" s="21" t="s">
        <v>861</v>
      </c>
      <c r="N343" s="98"/>
      <c r="O343" s="98"/>
      <c r="P343" s="98"/>
      <c r="Q343" s="87"/>
      <c r="R343" s="87"/>
      <c r="S343" s="87"/>
      <c r="T343" s="87"/>
      <c r="U343" s="87"/>
      <c r="V343" s="87"/>
      <c r="W343" s="87"/>
    </row>
    <row r="344" spans="1:23" x14ac:dyDescent="0.25">
      <c r="A344" s="21" t="s">
        <v>860</v>
      </c>
      <c r="B344" s="22" t="s">
        <v>731</v>
      </c>
      <c r="C344" s="27" t="s">
        <v>731</v>
      </c>
      <c r="D344" s="27">
        <v>70</v>
      </c>
      <c r="E344" s="25">
        <v>1</v>
      </c>
      <c r="F344" s="21" t="s">
        <v>716</v>
      </c>
      <c r="G344" s="21" t="s">
        <v>731</v>
      </c>
      <c r="H344" s="23" t="s">
        <v>725</v>
      </c>
      <c r="I344" s="65" t="s">
        <v>732</v>
      </c>
      <c r="J344" s="65" t="s">
        <v>733</v>
      </c>
      <c r="K344" s="21" t="s">
        <v>734</v>
      </c>
      <c r="L344" s="21" t="s">
        <v>733</v>
      </c>
      <c r="M344" s="21" t="s">
        <v>753</v>
      </c>
      <c r="N344" s="88"/>
      <c r="O344" s="88"/>
      <c r="P344" s="88"/>
      <c r="Q344" s="87"/>
      <c r="R344" s="87"/>
      <c r="S344" s="87"/>
      <c r="T344" s="87"/>
      <c r="U344" s="87"/>
      <c r="V344" s="87"/>
      <c r="W344" s="87">
        <v>70</v>
      </c>
    </row>
    <row r="345" spans="1:23" x14ac:dyDescent="0.25">
      <c r="A345" s="21" t="s">
        <v>860</v>
      </c>
      <c r="B345" s="22">
        <v>45.8</v>
      </c>
      <c r="C345" s="33" t="s">
        <v>731</v>
      </c>
      <c r="D345" s="22">
        <f t="shared" ref="D345:D351" si="22">SUM(B345:C345)</f>
        <v>45.8</v>
      </c>
      <c r="E345" s="21">
        <v>1</v>
      </c>
      <c r="F345" s="21" t="s">
        <v>716</v>
      </c>
      <c r="G345" s="21"/>
      <c r="H345" s="21" t="s">
        <v>13</v>
      </c>
      <c r="I345" s="65" t="s">
        <v>944</v>
      </c>
      <c r="J345" s="65" t="s">
        <v>1162</v>
      </c>
      <c r="K345" s="21" t="s">
        <v>984</v>
      </c>
      <c r="L345" s="21" t="s">
        <v>821</v>
      </c>
      <c r="M345" s="21"/>
      <c r="N345" s="87"/>
      <c r="O345" s="87"/>
      <c r="P345" s="87"/>
      <c r="Q345" s="87">
        <v>21.3</v>
      </c>
      <c r="R345" s="87">
        <v>0</v>
      </c>
      <c r="S345" s="87"/>
      <c r="T345" s="87"/>
      <c r="U345" s="87"/>
      <c r="V345" s="87"/>
      <c r="W345" s="87"/>
    </row>
    <row r="346" spans="1:23" x14ac:dyDescent="0.25">
      <c r="A346" s="21" t="s">
        <v>860</v>
      </c>
      <c r="B346" s="22">
        <v>45.7</v>
      </c>
      <c r="C346" s="33" t="s">
        <v>731</v>
      </c>
      <c r="D346" s="22">
        <f t="shared" si="22"/>
        <v>45.7</v>
      </c>
      <c r="E346" s="21">
        <v>1</v>
      </c>
      <c r="F346" s="21" t="s">
        <v>716</v>
      </c>
      <c r="G346" s="21"/>
      <c r="H346" s="21" t="s">
        <v>13</v>
      </c>
      <c r="I346" s="65" t="s">
        <v>942</v>
      </c>
      <c r="J346" s="65" t="s">
        <v>1162</v>
      </c>
      <c r="K346" s="21" t="s">
        <v>984</v>
      </c>
      <c r="L346" s="21" t="s">
        <v>821</v>
      </c>
      <c r="M346" s="21"/>
      <c r="N346" s="87"/>
      <c r="O346" s="87"/>
      <c r="P346" s="87"/>
      <c r="Q346" s="87">
        <v>29.5</v>
      </c>
      <c r="R346" s="87">
        <v>0</v>
      </c>
      <c r="S346" s="87"/>
      <c r="T346" s="87"/>
      <c r="U346" s="87"/>
      <c r="V346" s="87"/>
      <c r="W346" s="87"/>
    </row>
    <row r="347" spans="1:23" x14ac:dyDescent="0.25">
      <c r="A347" s="21" t="s">
        <v>860</v>
      </c>
      <c r="B347" s="22">
        <v>44.4</v>
      </c>
      <c r="C347" s="33" t="s">
        <v>731</v>
      </c>
      <c r="D347" s="22">
        <f t="shared" si="22"/>
        <v>44.4</v>
      </c>
      <c r="E347" s="21">
        <v>1</v>
      </c>
      <c r="F347" s="21" t="s">
        <v>716</v>
      </c>
      <c r="G347" s="21"/>
      <c r="H347" s="21" t="s">
        <v>13</v>
      </c>
      <c r="I347" s="65" t="s">
        <v>942</v>
      </c>
      <c r="J347" s="65" t="s">
        <v>1162</v>
      </c>
      <c r="K347" s="21" t="s">
        <v>984</v>
      </c>
      <c r="L347" s="21" t="s">
        <v>821</v>
      </c>
      <c r="M347" s="21"/>
      <c r="N347" s="87"/>
      <c r="O347" s="87"/>
      <c r="P347" s="87"/>
      <c r="Q347" s="87">
        <v>31.3</v>
      </c>
      <c r="R347" s="87">
        <v>0</v>
      </c>
      <c r="S347" s="87"/>
      <c r="T347" s="87"/>
      <c r="U347" s="87"/>
      <c r="V347" s="87"/>
      <c r="W347" s="87"/>
    </row>
    <row r="348" spans="1:23" x14ac:dyDescent="0.25">
      <c r="A348" s="56" t="s">
        <v>860</v>
      </c>
      <c r="B348" s="27">
        <v>95</v>
      </c>
      <c r="C348" s="33" t="s">
        <v>731</v>
      </c>
      <c r="D348" s="22">
        <f t="shared" si="22"/>
        <v>95</v>
      </c>
      <c r="E348" s="25">
        <v>1</v>
      </c>
      <c r="F348" s="21" t="s">
        <v>716</v>
      </c>
      <c r="G348" s="21" t="s">
        <v>731</v>
      </c>
      <c r="H348" s="23" t="s">
        <v>725</v>
      </c>
      <c r="I348" s="65" t="s">
        <v>790</v>
      </c>
      <c r="J348" s="65" t="s">
        <v>842</v>
      </c>
      <c r="K348" s="21"/>
      <c r="L348" s="21"/>
      <c r="M348" s="21" t="s">
        <v>805</v>
      </c>
      <c r="N348" s="88"/>
      <c r="O348" s="88"/>
      <c r="P348" s="88"/>
      <c r="Q348" s="87"/>
      <c r="R348" s="87"/>
      <c r="S348" s="87"/>
      <c r="T348" s="87"/>
      <c r="U348" s="87"/>
      <c r="V348" s="87"/>
      <c r="W348" s="87">
        <v>95</v>
      </c>
    </row>
    <row r="349" spans="1:23" x14ac:dyDescent="0.25">
      <c r="A349" s="21" t="s">
        <v>860</v>
      </c>
      <c r="B349" s="22">
        <f>10+60</f>
        <v>70</v>
      </c>
      <c r="C349" s="33" t="s">
        <v>731</v>
      </c>
      <c r="D349" s="22">
        <f t="shared" si="22"/>
        <v>70</v>
      </c>
      <c r="E349" s="25">
        <v>1</v>
      </c>
      <c r="F349" s="21" t="s">
        <v>716</v>
      </c>
      <c r="G349" s="21" t="s">
        <v>731</v>
      </c>
      <c r="H349" s="23" t="s">
        <v>725</v>
      </c>
      <c r="I349" s="65" t="s">
        <v>791</v>
      </c>
      <c r="J349" s="65" t="s">
        <v>800</v>
      </c>
      <c r="K349" s="21" t="s">
        <v>809</v>
      </c>
      <c r="L349" s="21"/>
      <c r="M349" s="21" t="s">
        <v>876</v>
      </c>
      <c r="N349" s="87"/>
      <c r="O349" s="87"/>
      <c r="P349" s="87"/>
      <c r="Q349" s="87"/>
      <c r="R349" s="87"/>
      <c r="S349" s="87"/>
      <c r="T349" s="87"/>
      <c r="U349" s="87"/>
      <c r="V349" s="87">
        <v>60</v>
      </c>
      <c r="W349" s="87"/>
    </row>
    <row r="350" spans="1:23" x14ac:dyDescent="0.25">
      <c r="A350" s="21" t="s">
        <v>860</v>
      </c>
      <c r="B350" s="33">
        <v>10</v>
      </c>
      <c r="C350" s="33" t="s">
        <v>731</v>
      </c>
      <c r="D350" s="22">
        <f t="shared" si="22"/>
        <v>10</v>
      </c>
      <c r="E350" s="25">
        <v>1</v>
      </c>
      <c r="F350" s="21" t="s">
        <v>716</v>
      </c>
      <c r="G350" s="21" t="s">
        <v>731</v>
      </c>
      <c r="H350" s="23" t="s">
        <v>725</v>
      </c>
      <c r="I350" s="65" t="s">
        <v>741</v>
      </c>
      <c r="J350" s="65" t="s">
        <v>740</v>
      </c>
      <c r="K350" s="21" t="s">
        <v>887</v>
      </c>
      <c r="L350" s="21"/>
      <c r="M350" s="21" t="s">
        <v>883</v>
      </c>
      <c r="N350" s="100"/>
      <c r="O350" s="100"/>
      <c r="P350" s="100"/>
      <c r="Q350" s="87"/>
      <c r="R350" s="87"/>
      <c r="S350" s="87"/>
      <c r="T350" s="87"/>
      <c r="U350" s="87"/>
      <c r="V350" s="87"/>
      <c r="W350" s="87"/>
    </row>
    <row r="351" spans="1:23" x14ac:dyDescent="0.25">
      <c r="A351" s="21" t="s">
        <v>860</v>
      </c>
      <c r="B351" s="22">
        <v>14</v>
      </c>
      <c r="C351" s="33" t="s">
        <v>731</v>
      </c>
      <c r="D351" s="22">
        <f t="shared" si="22"/>
        <v>14</v>
      </c>
      <c r="E351" s="21">
        <v>1</v>
      </c>
      <c r="F351" s="21" t="s">
        <v>716</v>
      </c>
      <c r="G351" s="21"/>
      <c r="H351" s="21" t="s">
        <v>13</v>
      </c>
      <c r="I351" s="65" t="s">
        <v>945</v>
      </c>
      <c r="J351" s="65" t="s">
        <v>1107</v>
      </c>
      <c r="K351" s="21" t="s">
        <v>984</v>
      </c>
      <c r="L351" s="21" t="s">
        <v>821</v>
      </c>
      <c r="M351" s="21"/>
      <c r="N351" s="87"/>
      <c r="O351" s="87"/>
      <c r="P351" s="87"/>
      <c r="Q351" s="87">
        <v>0</v>
      </c>
      <c r="R351" s="87">
        <v>0</v>
      </c>
      <c r="S351" s="87"/>
      <c r="T351" s="87"/>
      <c r="U351" s="87"/>
      <c r="V351" s="87"/>
      <c r="W351" s="87"/>
    </row>
    <row r="352" spans="1:23" x14ac:dyDescent="0.25">
      <c r="A352" s="21" t="s">
        <v>860</v>
      </c>
      <c r="B352" s="22">
        <f>0.95*0.03*100</f>
        <v>2.8499999999999996</v>
      </c>
      <c r="C352" s="22">
        <v>5</v>
      </c>
      <c r="D352" s="22">
        <f>SUM(B352:C352)</f>
        <v>7.85</v>
      </c>
      <c r="E352" s="25">
        <v>1</v>
      </c>
      <c r="F352" s="21" t="s">
        <v>716</v>
      </c>
      <c r="G352" s="21" t="s">
        <v>731</v>
      </c>
      <c r="H352" s="23" t="s">
        <v>725</v>
      </c>
      <c r="I352" s="65" t="s">
        <v>746</v>
      </c>
      <c r="J352" s="65" t="s">
        <v>745</v>
      </c>
      <c r="K352" s="21" t="s">
        <v>891</v>
      </c>
      <c r="L352" s="25" t="s">
        <v>770</v>
      </c>
      <c r="M352" s="21" t="s">
        <v>744</v>
      </c>
      <c r="N352" s="87"/>
      <c r="O352" s="87"/>
      <c r="P352" s="87"/>
      <c r="Q352" s="87"/>
      <c r="R352" s="87"/>
      <c r="S352" s="87"/>
      <c r="T352" s="87"/>
      <c r="U352" s="87"/>
      <c r="V352" s="87"/>
      <c r="W352" s="87"/>
    </row>
    <row r="353" spans="1:23" x14ac:dyDescent="0.25">
      <c r="A353" s="21" t="s">
        <v>860</v>
      </c>
      <c r="B353" s="22">
        <v>72</v>
      </c>
      <c r="C353" s="33" t="s">
        <v>731</v>
      </c>
      <c r="D353" s="22">
        <f t="shared" ref="D353:D362" si="23">SUM(B353:C353)</f>
        <v>72</v>
      </c>
      <c r="E353" s="21">
        <v>16</v>
      </c>
      <c r="F353" s="21" t="s">
        <v>716</v>
      </c>
      <c r="G353" s="21"/>
      <c r="H353" s="21" t="s">
        <v>13</v>
      </c>
      <c r="I353" s="65" t="s">
        <v>943</v>
      </c>
      <c r="J353" s="65" t="s">
        <v>1162</v>
      </c>
      <c r="K353" s="21" t="s">
        <v>984</v>
      </c>
      <c r="L353" s="21" t="s">
        <v>821</v>
      </c>
      <c r="M353" s="21"/>
      <c r="N353" s="87"/>
      <c r="O353" s="87"/>
      <c r="P353" s="87"/>
      <c r="Q353" s="87">
        <v>29</v>
      </c>
      <c r="R353" s="87">
        <v>0</v>
      </c>
      <c r="S353" s="87"/>
      <c r="T353" s="87"/>
      <c r="U353" s="87"/>
      <c r="V353" s="87"/>
      <c r="W353" s="87"/>
    </row>
    <row r="354" spans="1:23" x14ac:dyDescent="0.25">
      <c r="A354" s="21" t="s">
        <v>860</v>
      </c>
      <c r="B354" s="22">
        <v>60</v>
      </c>
      <c r="C354" s="33" t="s">
        <v>731</v>
      </c>
      <c r="D354" s="22">
        <f t="shared" si="23"/>
        <v>60</v>
      </c>
      <c r="E354" s="21">
        <v>16</v>
      </c>
      <c r="F354" s="21" t="s">
        <v>716</v>
      </c>
      <c r="G354" s="21"/>
      <c r="H354" s="21" t="s">
        <v>13</v>
      </c>
      <c r="I354" s="65" t="s">
        <v>943</v>
      </c>
      <c r="J354" s="65" t="s">
        <v>1162</v>
      </c>
      <c r="K354" s="21" t="s">
        <v>984</v>
      </c>
      <c r="L354" s="21" t="s">
        <v>821</v>
      </c>
      <c r="M354" s="21"/>
      <c r="N354" s="87"/>
      <c r="O354" s="87"/>
      <c r="P354" s="87"/>
      <c r="Q354" s="87">
        <v>40</v>
      </c>
      <c r="R354" s="87">
        <v>0</v>
      </c>
      <c r="S354" s="87"/>
      <c r="T354" s="87"/>
      <c r="U354" s="87"/>
      <c r="V354" s="87"/>
      <c r="W354" s="87"/>
    </row>
    <row r="355" spans="1:23" x14ac:dyDescent="0.25">
      <c r="A355" s="21" t="s">
        <v>860</v>
      </c>
      <c r="B355" s="22">
        <v>52</v>
      </c>
      <c r="C355" s="33" t="s">
        <v>731</v>
      </c>
      <c r="D355" s="22">
        <f t="shared" si="23"/>
        <v>52</v>
      </c>
      <c r="E355" s="21">
        <v>16</v>
      </c>
      <c r="F355" s="21" t="s">
        <v>716</v>
      </c>
      <c r="G355" s="21"/>
      <c r="H355" s="21" t="s">
        <v>13</v>
      </c>
      <c r="I355" s="65" t="s">
        <v>943</v>
      </c>
      <c r="J355" s="65" t="s">
        <v>1162</v>
      </c>
      <c r="K355" s="21" t="s">
        <v>984</v>
      </c>
      <c r="L355" s="21" t="s">
        <v>821</v>
      </c>
      <c r="M355" s="21"/>
      <c r="N355" s="87"/>
      <c r="O355" s="87"/>
      <c r="P355" s="87"/>
      <c r="Q355" s="87">
        <v>49</v>
      </c>
      <c r="R355" s="87">
        <v>0</v>
      </c>
      <c r="S355" s="87"/>
      <c r="T355" s="87"/>
      <c r="U355" s="87"/>
      <c r="V355" s="87"/>
      <c r="W355" s="87"/>
    </row>
    <row r="356" spans="1:23" x14ac:dyDescent="0.25">
      <c r="A356" s="21" t="s">
        <v>860</v>
      </c>
      <c r="B356" s="22">
        <v>62</v>
      </c>
      <c r="C356" s="33" t="s">
        <v>731</v>
      </c>
      <c r="D356" s="22">
        <f t="shared" si="23"/>
        <v>62</v>
      </c>
      <c r="E356" s="21">
        <v>16</v>
      </c>
      <c r="F356" s="21" t="s">
        <v>716</v>
      </c>
      <c r="G356" s="21"/>
      <c r="H356" s="21" t="s">
        <v>13</v>
      </c>
      <c r="I356" s="65" t="s">
        <v>943</v>
      </c>
      <c r="J356" s="65" t="s">
        <v>1162</v>
      </c>
      <c r="K356" s="21" t="s">
        <v>984</v>
      </c>
      <c r="L356" s="21" t="s">
        <v>821</v>
      </c>
      <c r="M356" s="21"/>
      <c r="N356" s="87"/>
      <c r="O356" s="87"/>
      <c r="P356" s="87"/>
      <c r="Q356" s="87">
        <v>38</v>
      </c>
      <c r="R356" s="87">
        <v>0</v>
      </c>
      <c r="S356" s="87"/>
      <c r="T356" s="87"/>
      <c r="U356" s="87"/>
      <c r="V356" s="87"/>
      <c r="W356" s="87"/>
    </row>
    <row r="357" spans="1:23" x14ac:dyDescent="0.25">
      <c r="A357" s="21" t="s">
        <v>860</v>
      </c>
      <c r="B357" s="22">
        <v>61.8</v>
      </c>
      <c r="C357" s="33" t="s">
        <v>731</v>
      </c>
      <c r="D357" s="22">
        <f t="shared" si="23"/>
        <v>61.8</v>
      </c>
      <c r="E357" s="21">
        <v>1</v>
      </c>
      <c r="F357" s="21" t="s">
        <v>939</v>
      </c>
      <c r="G357" s="21"/>
      <c r="H357" s="21" t="s">
        <v>13</v>
      </c>
      <c r="I357" s="65" t="s">
        <v>938</v>
      </c>
      <c r="J357" s="65" t="s">
        <v>1162</v>
      </c>
      <c r="K357" s="21" t="s">
        <v>984</v>
      </c>
      <c r="L357" s="21" t="s">
        <v>821</v>
      </c>
      <c r="M357" s="21"/>
      <c r="N357" s="87"/>
      <c r="O357" s="87"/>
      <c r="P357" s="87"/>
      <c r="Q357" s="87">
        <v>25.5</v>
      </c>
      <c r="R357" s="87">
        <v>0</v>
      </c>
      <c r="S357" s="87"/>
      <c r="T357" s="87"/>
      <c r="U357" s="87"/>
      <c r="V357" s="87"/>
      <c r="W357" s="87"/>
    </row>
    <row r="358" spans="1:23" x14ac:dyDescent="0.25">
      <c r="A358" s="21" t="s">
        <v>860</v>
      </c>
      <c r="B358" s="22">
        <v>61</v>
      </c>
      <c r="C358" s="33" t="s">
        <v>731</v>
      </c>
      <c r="D358" s="22">
        <f t="shared" si="23"/>
        <v>61</v>
      </c>
      <c r="E358" s="21">
        <v>1</v>
      </c>
      <c r="F358" s="21" t="s">
        <v>940</v>
      </c>
      <c r="G358" s="21"/>
      <c r="H358" s="21" t="s">
        <v>13</v>
      </c>
      <c r="I358" s="65" t="s">
        <v>938</v>
      </c>
      <c r="J358" s="65" t="s">
        <v>1162</v>
      </c>
      <c r="K358" s="21" t="s">
        <v>984</v>
      </c>
      <c r="L358" s="21" t="s">
        <v>821</v>
      </c>
      <c r="M358" s="21"/>
      <c r="N358" s="87"/>
      <c r="O358" s="87"/>
      <c r="P358" s="87"/>
      <c r="Q358" s="87">
        <v>18.600000000000001</v>
      </c>
      <c r="R358" s="87">
        <v>0</v>
      </c>
      <c r="S358" s="87"/>
      <c r="T358" s="87"/>
      <c r="U358" s="87"/>
      <c r="V358" s="87"/>
      <c r="W358" s="87"/>
    </row>
    <row r="359" spans="1:23" x14ac:dyDescent="0.25">
      <c r="A359" s="21" t="s">
        <v>860</v>
      </c>
      <c r="B359" s="22">
        <f>50.8+6.5+1.1</f>
        <v>58.4</v>
      </c>
      <c r="C359" s="33" t="s">
        <v>731</v>
      </c>
      <c r="D359" s="22">
        <f t="shared" si="23"/>
        <v>58.4</v>
      </c>
      <c r="E359" s="21">
        <v>10</v>
      </c>
      <c r="F359" s="21" t="s">
        <v>716</v>
      </c>
      <c r="G359" s="21"/>
      <c r="H359" s="21" t="s">
        <v>13</v>
      </c>
      <c r="I359" s="65" t="s">
        <v>1114</v>
      </c>
      <c r="J359" s="65" t="s">
        <v>1115</v>
      </c>
      <c r="K359" s="21" t="s">
        <v>984</v>
      </c>
      <c r="L359" s="21" t="s">
        <v>821</v>
      </c>
      <c r="M359" s="21"/>
      <c r="N359" s="87"/>
      <c r="O359" s="87"/>
      <c r="P359" s="87"/>
      <c r="Q359" s="87">
        <f>14.3+5.5+0.63</f>
        <v>20.43</v>
      </c>
      <c r="R359" s="87">
        <v>0</v>
      </c>
      <c r="S359" s="87"/>
      <c r="T359" s="87"/>
      <c r="U359" s="87"/>
      <c r="V359" s="87"/>
      <c r="W359" s="87"/>
    </row>
    <row r="360" spans="1:23" x14ac:dyDescent="0.25">
      <c r="A360" s="21" t="s">
        <v>860</v>
      </c>
      <c r="B360" s="22">
        <f>50.9+6.8+1.3</f>
        <v>58.999999999999993</v>
      </c>
      <c r="C360" s="33" t="s">
        <v>731</v>
      </c>
      <c r="D360" s="22">
        <f t="shared" si="23"/>
        <v>58.999999999999993</v>
      </c>
      <c r="E360" s="21">
        <v>6</v>
      </c>
      <c r="F360" s="21" t="s">
        <v>716</v>
      </c>
      <c r="G360" s="21"/>
      <c r="H360" s="21" t="s">
        <v>13</v>
      </c>
      <c r="I360" s="65" t="s">
        <v>1114</v>
      </c>
      <c r="J360" s="65" t="s">
        <v>1115</v>
      </c>
      <c r="K360" s="21" t="s">
        <v>984</v>
      </c>
      <c r="L360" s="21" t="s">
        <v>821</v>
      </c>
      <c r="M360" s="21"/>
      <c r="N360" s="87"/>
      <c r="O360" s="87"/>
      <c r="P360" s="87"/>
      <c r="Q360" s="87">
        <v>20.8</v>
      </c>
      <c r="R360" s="87">
        <v>0</v>
      </c>
      <c r="S360" s="87"/>
      <c r="T360" s="87"/>
      <c r="U360" s="87"/>
      <c r="V360" s="87"/>
      <c r="W360" s="87"/>
    </row>
    <row r="361" spans="1:23" x14ac:dyDescent="0.25">
      <c r="A361" s="21" t="s">
        <v>860</v>
      </c>
      <c r="B361" s="22">
        <f>60.4+6.3+0.58</f>
        <v>67.28</v>
      </c>
      <c r="C361" s="33" t="s">
        <v>731</v>
      </c>
      <c r="D361" s="22">
        <f t="shared" si="23"/>
        <v>67.28</v>
      </c>
      <c r="E361" s="21">
        <v>6</v>
      </c>
      <c r="F361" s="21" t="s">
        <v>1116</v>
      </c>
      <c r="G361" s="21"/>
      <c r="H361" s="21" t="s">
        <v>13</v>
      </c>
      <c r="I361" s="65" t="s">
        <v>1114</v>
      </c>
      <c r="J361" s="65" t="s">
        <v>1115</v>
      </c>
      <c r="K361" s="21" t="s">
        <v>984</v>
      </c>
      <c r="L361" s="21" t="s">
        <v>821</v>
      </c>
      <c r="M361" s="21"/>
      <c r="N361" s="87"/>
      <c r="O361" s="87"/>
      <c r="P361" s="87"/>
      <c r="Q361" s="87">
        <v>19.62</v>
      </c>
      <c r="R361" s="87">
        <v>0</v>
      </c>
      <c r="S361" s="87"/>
      <c r="T361" s="87"/>
      <c r="U361" s="87"/>
      <c r="V361" s="87"/>
      <c r="W361" s="87"/>
    </row>
    <row r="362" spans="1:23" x14ac:dyDescent="0.25">
      <c r="A362" s="21" t="s">
        <v>860</v>
      </c>
      <c r="B362" s="22">
        <v>28.03</v>
      </c>
      <c r="C362" s="33" t="s">
        <v>731</v>
      </c>
      <c r="D362" s="22">
        <f t="shared" si="23"/>
        <v>28.03</v>
      </c>
      <c r="E362" s="21">
        <v>1</v>
      </c>
      <c r="F362" s="21" t="s">
        <v>716</v>
      </c>
      <c r="G362" s="21"/>
      <c r="H362" s="21" t="s">
        <v>13</v>
      </c>
      <c r="I362" s="65" t="s">
        <v>941</v>
      </c>
      <c r="J362" s="65" t="s">
        <v>1162</v>
      </c>
      <c r="K362" s="21" t="s">
        <v>984</v>
      </c>
      <c r="L362" s="21" t="s">
        <v>821</v>
      </c>
      <c r="M362" s="21"/>
      <c r="N362" s="87"/>
      <c r="O362" s="87"/>
      <c r="P362" s="87"/>
      <c r="Q362" s="87">
        <v>0</v>
      </c>
      <c r="R362" s="87">
        <v>0</v>
      </c>
      <c r="S362" s="87"/>
      <c r="T362" s="87"/>
      <c r="U362" s="87"/>
      <c r="V362" s="87"/>
      <c r="W362" s="87"/>
    </row>
    <row r="363" spans="1:23" x14ac:dyDescent="0.25">
      <c r="A363" s="21" t="s">
        <v>860</v>
      </c>
      <c r="B363" s="22" t="s">
        <v>731</v>
      </c>
      <c r="C363" s="33" t="s">
        <v>731</v>
      </c>
      <c r="D363" s="33">
        <f>(1+10)/2</f>
        <v>5.5</v>
      </c>
      <c r="E363" s="25">
        <v>1</v>
      </c>
      <c r="F363" s="21" t="s">
        <v>716</v>
      </c>
      <c r="G363" s="21" t="s">
        <v>731</v>
      </c>
      <c r="H363" s="23" t="s">
        <v>725</v>
      </c>
      <c r="I363" s="65" t="s">
        <v>794</v>
      </c>
      <c r="J363" s="65" t="s">
        <v>802</v>
      </c>
      <c r="K363" s="21" t="s">
        <v>972</v>
      </c>
      <c r="L363" s="21"/>
      <c r="M363" s="21" t="s">
        <v>806</v>
      </c>
      <c r="N363" s="98"/>
      <c r="O363" s="98"/>
      <c r="P363" s="98"/>
      <c r="Q363" s="87"/>
      <c r="R363" s="87"/>
      <c r="S363" s="87"/>
      <c r="T363" s="87"/>
      <c r="U363" s="87"/>
      <c r="V363" s="87"/>
      <c r="W363" s="87"/>
    </row>
    <row r="364" spans="1:23" x14ac:dyDescent="0.25">
      <c r="A364" s="21" t="s">
        <v>860</v>
      </c>
      <c r="B364" s="22">
        <v>30.2</v>
      </c>
      <c r="C364" s="33" t="s">
        <v>731</v>
      </c>
      <c r="D364" s="22">
        <f>SUM(B364:C364)</f>
        <v>30.2</v>
      </c>
      <c r="E364" s="21">
        <v>3</v>
      </c>
      <c r="F364" s="21" t="s">
        <v>716</v>
      </c>
      <c r="G364" s="21"/>
      <c r="H364" s="21" t="s">
        <v>13</v>
      </c>
      <c r="I364" s="65" t="s">
        <v>936</v>
      </c>
      <c r="J364" s="65" t="s">
        <v>1162</v>
      </c>
      <c r="K364" s="21" t="s">
        <v>984</v>
      </c>
      <c r="L364" s="21" t="s">
        <v>821</v>
      </c>
      <c r="M364" s="21"/>
      <c r="N364" s="87"/>
      <c r="O364" s="87"/>
      <c r="P364" s="87"/>
      <c r="Q364" s="87">
        <v>19.899999999999999</v>
      </c>
      <c r="R364" s="87">
        <v>0</v>
      </c>
      <c r="S364" s="87"/>
      <c r="T364" s="87"/>
      <c r="U364" s="87"/>
      <c r="V364" s="87"/>
      <c r="W364" s="87"/>
    </row>
    <row r="365" spans="1:23" x14ac:dyDescent="0.25">
      <c r="A365" s="21" t="s">
        <v>860</v>
      </c>
      <c r="B365" s="27">
        <v>90</v>
      </c>
      <c r="C365" s="22">
        <v>5</v>
      </c>
      <c r="D365" s="22">
        <f>SUM(B365:C365)</f>
        <v>95</v>
      </c>
      <c r="E365" s="21">
        <v>1</v>
      </c>
      <c r="F365" s="21" t="s">
        <v>716</v>
      </c>
      <c r="G365" s="21" t="s">
        <v>731</v>
      </c>
      <c r="H365" s="23" t="s">
        <v>725</v>
      </c>
      <c r="I365" s="65" t="s">
        <v>993</v>
      </c>
      <c r="J365" s="65" t="s">
        <v>731</v>
      </c>
      <c r="K365" s="21"/>
      <c r="L365" s="21"/>
      <c r="M365" s="21"/>
      <c r="N365" s="87"/>
      <c r="O365" s="87"/>
      <c r="P365" s="87"/>
      <c r="Q365" s="87"/>
      <c r="R365" s="87"/>
      <c r="S365" s="87"/>
      <c r="T365" s="87"/>
      <c r="U365" s="87"/>
      <c r="V365" s="87"/>
      <c r="W365" s="87"/>
    </row>
    <row r="366" spans="1:23" x14ac:dyDescent="0.25">
      <c r="A366" s="21" t="s">
        <v>860</v>
      </c>
      <c r="B366" s="27" t="s">
        <v>731</v>
      </c>
      <c r="C366" s="22" t="s">
        <v>731</v>
      </c>
      <c r="D366" s="22">
        <v>70</v>
      </c>
      <c r="E366" s="25">
        <v>1</v>
      </c>
      <c r="F366" s="21" t="s">
        <v>716</v>
      </c>
      <c r="G366" s="21" t="s">
        <v>731</v>
      </c>
      <c r="H366" s="23" t="s">
        <v>725</v>
      </c>
      <c r="I366" s="65" t="s">
        <v>1103</v>
      </c>
      <c r="J366" s="65" t="s">
        <v>1102</v>
      </c>
      <c r="K366" s="21"/>
      <c r="L366" s="21"/>
      <c r="M366" s="21" t="s">
        <v>1104</v>
      </c>
      <c r="N366" s="87"/>
      <c r="O366" s="87"/>
      <c r="P366" s="87"/>
      <c r="Q366" s="87"/>
      <c r="R366" s="87"/>
      <c r="S366" s="87"/>
      <c r="T366" s="87"/>
      <c r="U366" s="87"/>
      <c r="V366" s="87"/>
      <c r="W366" s="87"/>
    </row>
    <row r="367" spans="1:23" x14ac:dyDescent="0.25">
      <c r="A367" s="21" t="s">
        <v>860</v>
      </c>
      <c r="B367" s="27">
        <f>95-(92+62)/2</f>
        <v>18</v>
      </c>
      <c r="C367" s="22">
        <v>5</v>
      </c>
      <c r="D367" s="22">
        <f t="shared" ref="D367:D369" si="24">SUM(B367:C367)</f>
        <v>23</v>
      </c>
      <c r="E367" s="25">
        <v>1</v>
      </c>
      <c r="F367" s="21" t="s">
        <v>1113</v>
      </c>
      <c r="G367" s="21" t="s">
        <v>731</v>
      </c>
      <c r="H367" s="23" t="s">
        <v>725</v>
      </c>
      <c r="I367" s="65" t="s">
        <v>1106</v>
      </c>
      <c r="J367" s="65" t="s">
        <v>731</v>
      </c>
      <c r="K367" s="21"/>
      <c r="L367" s="21"/>
      <c r="M367" s="21" t="s">
        <v>1105</v>
      </c>
      <c r="N367" s="87"/>
      <c r="O367" s="87"/>
      <c r="P367" s="87"/>
      <c r="Q367" s="87"/>
      <c r="R367" s="87"/>
      <c r="S367" s="87"/>
      <c r="T367" s="87"/>
      <c r="U367" s="87"/>
      <c r="V367" s="87"/>
      <c r="W367" s="87"/>
    </row>
    <row r="368" spans="1:23" x14ac:dyDescent="0.25">
      <c r="A368" s="21" t="s">
        <v>860</v>
      </c>
      <c r="B368" s="48">
        <f>71</f>
        <v>71</v>
      </c>
      <c r="C368" s="22" t="s">
        <v>731</v>
      </c>
      <c r="D368" s="22">
        <f t="shared" si="24"/>
        <v>71</v>
      </c>
      <c r="E368" s="25">
        <v>10</v>
      </c>
      <c r="F368" s="21" t="s">
        <v>1113</v>
      </c>
      <c r="G368" s="21" t="s">
        <v>731</v>
      </c>
      <c r="H368" s="23" t="s">
        <v>13</v>
      </c>
      <c r="I368" s="65" t="s">
        <v>1108</v>
      </c>
      <c r="J368" s="65" t="s">
        <v>1109</v>
      </c>
      <c r="K368" s="21"/>
      <c r="L368" s="21"/>
      <c r="M368" s="21" t="s">
        <v>1110</v>
      </c>
      <c r="N368" s="87"/>
      <c r="O368" s="87"/>
      <c r="P368" s="87"/>
      <c r="Q368" s="87"/>
      <c r="R368" s="87"/>
      <c r="S368" s="87"/>
      <c r="T368" s="87"/>
      <c r="U368" s="87"/>
      <c r="V368" s="87"/>
      <c r="W368" s="87"/>
    </row>
    <row r="369" spans="1:23" x14ac:dyDescent="0.25">
      <c r="A369" s="21" t="s">
        <v>860</v>
      </c>
      <c r="B369" s="48">
        <v>10</v>
      </c>
      <c r="C369" s="22" t="s">
        <v>731</v>
      </c>
      <c r="D369" s="22">
        <f t="shared" si="24"/>
        <v>10</v>
      </c>
      <c r="E369" s="25">
        <v>21</v>
      </c>
      <c r="F369" s="21" t="s">
        <v>1113</v>
      </c>
      <c r="G369" s="21" t="s">
        <v>731</v>
      </c>
      <c r="H369" s="23" t="s">
        <v>13</v>
      </c>
      <c r="I369" s="65" t="s">
        <v>1111</v>
      </c>
      <c r="J369" s="65" t="s">
        <v>1112</v>
      </c>
      <c r="K369" s="21"/>
      <c r="L369" s="21"/>
      <c r="M369" s="21"/>
      <c r="N369" s="87"/>
      <c r="O369" s="87"/>
      <c r="P369" s="87"/>
      <c r="Q369" s="87"/>
      <c r="R369" s="87"/>
      <c r="S369" s="87"/>
      <c r="T369" s="87"/>
      <c r="U369" s="87"/>
      <c r="V369" s="87"/>
      <c r="W369" s="87"/>
    </row>
    <row r="370" spans="1:23" x14ac:dyDescent="0.25">
      <c r="A370" s="13" t="s">
        <v>863</v>
      </c>
      <c r="B370" s="14" t="s">
        <v>731</v>
      </c>
      <c r="C370" s="14" t="s">
        <v>731</v>
      </c>
      <c r="D370" s="18">
        <v>85</v>
      </c>
      <c r="E370" s="15">
        <v>1</v>
      </c>
      <c r="F370" s="13" t="s">
        <v>716</v>
      </c>
      <c r="G370" s="13" t="s">
        <v>731</v>
      </c>
      <c r="H370" s="16" t="s">
        <v>725</v>
      </c>
      <c r="I370" s="65" t="s">
        <v>732</v>
      </c>
      <c r="J370" s="65" t="s">
        <v>733</v>
      </c>
      <c r="K370" s="13" t="s">
        <v>734</v>
      </c>
      <c r="L370" s="13" t="s">
        <v>733</v>
      </c>
      <c r="M370" s="13" t="s">
        <v>753</v>
      </c>
      <c r="N370" s="75"/>
      <c r="O370" s="75"/>
      <c r="P370" s="75"/>
      <c r="Q370" s="74"/>
      <c r="R370" s="74"/>
      <c r="S370" s="74"/>
      <c r="T370" s="74"/>
      <c r="U370" s="74"/>
      <c r="V370" s="74">
        <v>85</v>
      </c>
      <c r="W370" s="74">
        <v>85</v>
      </c>
    </row>
    <row r="371" spans="1:23" x14ac:dyDescent="0.25">
      <c r="A371" s="13" t="s">
        <v>863</v>
      </c>
      <c r="B371" s="14">
        <f>4+55</f>
        <v>59</v>
      </c>
      <c r="C371" s="14" t="s">
        <v>731</v>
      </c>
      <c r="D371" s="14">
        <f>SUM(B371:C371)</f>
        <v>59</v>
      </c>
      <c r="E371" s="15">
        <v>1</v>
      </c>
      <c r="F371" s="13" t="s">
        <v>716</v>
      </c>
      <c r="G371" s="13" t="s">
        <v>731</v>
      </c>
      <c r="H371" s="16" t="s">
        <v>725</v>
      </c>
      <c r="I371" s="65" t="s">
        <v>828</v>
      </c>
      <c r="J371" s="65" t="s">
        <v>830</v>
      </c>
      <c r="K371" s="13" t="s">
        <v>864</v>
      </c>
      <c r="L371" s="13"/>
      <c r="M371" s="13" t="s">
        <v>908</v>
      </c>
      <c r="N371" s="74"/>
      <c r="O371" s="74"/>
      <c r="P371" s="74"/>
      <c r="Q371" s="74"/>
      <c r="R371" s="74"/>
      <c r="S371" s="74"/>
      <c r="T371" s="74"/>
      <c r="U371" s="74"/>
      <c r="V371" s="74"/>
      <c r="W371" s="74"/>
    </row>
    <row r="372" spans="1:23" x14ac:dyDescent="0.25">
      <c r="A372" s="13" t="s">
        <v>863</v>
      </c>
      <c r="B372" s="14">
        <f>(2+5)/2+55</f>
        <v>58.5</v>
      </c>
      <c r="C372" s="14" t="s">
        <v>731</v>
      </c>
      <c r="D372" s="14">
        <f t="shared" ref="D372:D384" si="25">SUM(B372:C372)</f>
        <v>58.5</v>
      </c>
      <c r="E372" s="13">
        <v>1</v>
      </c>
      <c r="F372" s="13" t="s">
        <v>716</v>
      </c>
      <c r="G372" s="13"/>
      <c r="H372" s="13" t="s">
        <v>952</v>
      </c>
      <c r="I372" s="65" t="s">
        <v>983</v>
      </c>
      <c r="J372" s="65" t="s">
        <v>1162</v>
      </c>
      <c r="K372" s="13" t="s">
        <v>984</v>
      </c>
      <c r="L372" s="13" t="s">
        <v>821</v>
      </c>
      <c r="M372" s="13"/>
      <c r="N372" s="74"/>
      <c r="O372" s="74"/>
      <c r="P372" s="74"/>
      <c r="Q372" s="74">
        <v>55</v>
      </c>
      <c r="R372" s="74">
        <v>30</v>
      </c>
      <c r="S372" s="74"/>
      <c r="T372" s="74">
        <v>6</v>
      </c>
      <c r="U372" s="74"/>
      <c r="V372" s="74"/>
      <c r="W372" s="74"/>
    </row>
    <row r="373" spans="1:23" x14ac:dyDescent="0.25">
      <c r="A373" s="13" t="s">
        <v>863</v>
      </c>
      <c r="B373" s="14">
        <v>5</v>
      </c>
      <c r="C373" s="14" t="s">
        <v>731</v>
      </c>
      <c r="D373" s="14">
        <f t="shared" si="25"/>
        <v>5</v>
      </c>
      <c r="E373" s="15">
        <v>1</v>
      </c>
      <c r="F373" s="13" t="s">
        <v>716</v>
      </c>
      <c r="G373" s="13" t="s">
        <v>731</v>
      </c>
      <c r="H373" s="16" t="s">
        <v>725</v>
      </c>
      <c r="I373" s="65" t="s">
        <v>788</v>
      </c>
      <c r="J373" s="65" t="s">
        <v>798</v>
      </c>
      <c r="K373" s="13" t="s">
        <v>808</v>
      </c>
      <c r="L373" s="13"/>
      <c r="M373" s="13" t="s">
        <v>803</v>
      </c>
      <c r="N373" s="74"/>
      <c r="O373" s="74"/>
      <c r="P373" s="74"/>
      <c r="Q373" s="74"/>
      <c r="R373" s="74"/>
      <c r="S373" s="74"/>
      <c r="T373" s="74"/>
      <c r="U373" s="74"/>
      <c r="V373" s="74"/>
      <c r="W373" s="74"/>
    </row>
    <row r="374" spans="1:23" x14ac:dyDescent="0.25">
      <c r="A374" s="13" t="s">
        <v>863</v>
      </c>
      <c r="B374" s="14">
        <f>4+55</f>
        <v>59</v>
      </c>
      <c r="C374" s="14" t="s">
        <v>731</v>
      </c>
      <c r="D374" s="14">
        <f t="shared" si="25"/>
        <v>59</v>
      </c>
      <c r="E374" s="13">
        <v>1</v>
      </c>
      <c r="F374" s="13" t="s">
        <v>716</v>
      </c>
      <c r="G374" s="13"/>
      <c r="H374" s="13" t="s">
        <v>952</v>
      </c>
      <c r="I374" s="65" t="s">
        <v>958</v>
      </c>
      <c r="J374" s="65" t="s">
        <v>1162</v>
      </c>
      <c r="K374" s="13" t="s">
        <v>984</v>
      </c>
      <c r="L374" s="13" t="s">
        <v>821</v>
      </c>
      <c r="M374" s="13"/>
      <c r="N374" s="74"/>
      <c r="O374" s="74"/>
      <c r="P374" s="74"/>
      <c r="Q374" s="74">
        <v>55</v>
      </c>
      <c r="R374" s="74">
        <v>30</v>
      </c>
      <c r="S374" s="74">
        <v>8</v>
      </c>
      <c r="T374" s="74"/>
      <c r="U374" s="74"/>
      <c r="V374" s="74"/>
      <c r="W374" s="74"/>
    </row>
    <row r="375" spans="1:23" x14ac:dyDescent="0.25">
      <c r="A375" s="13" t="s">
        <v>863</v>
      </c>
      <c r="B375" s="14">
        <f>4.8+59.1</f>
        <v>63.9</v>
      </c>
      <c r="C375" s="14" t="s">
        <v>731</v>
      </c>
      <c r="D375" s="14">
        <f t="shared" si="25"/>
        <v>63.9</v>
      </c>
      <c r="E375" s="13">
        <v>18</v>
      </c>
      <c r="F375" s="13" t="s">
        <v>716</v>
      </c>
      <c r="G375" s="13"/>
      <c r="H375" s="13" t="s">
        <v>952</v>
      </c>
      <c r="I375" s="65" t="s">
        <v>955</v>
      </c>
      <c r="J375" s="65" t="s">
        <v>1162</v>
      </c>
      <c r="K375" s="13" t="s">
        <v>984</v>
      </c>
      <c r="L375" s="13" t="s">
        <v>821</v>
      </c>
      <c r="M375" s="13"/>
      <c r="N375" s="74"/>
      <c r="O375" s="74"/>
      <c r="P375" s="74"/>
      <c r="Q375" s="74">
        <v>59.1</v>
      </c>
      <c r="R375" s="74">
        <v>25.4</v>
      </c>
      <c r="S375" s="74">
        <v>10.7</v>
      </c>
      <c r="T375" s="74"/>
      <c r="U375" s="74"/>
      <c r="V375" s="74"/>
      <c r="W375" s="74"/>
    </row>
    <row r="376" spans="1:23" x14ac:dyDescent="0.25">
      <c r="A376" s="13" t="s">
        <v>863</v>
      </c>
      <c r="B376" s="14">
        <f>4.9+60.5</f>
        <v>65.400000000000006</v>
      </c>
      <c r="C376" s="14" t="s">
        <v>731</v>
      </c>
      <c r="D376" s="14">
        <f t="shared" si="25"/>
        <v>65.400000000000006</v>
      </c>
      <c r="E376" s="13">
        <v>8</v>
      </c>
      <c r="F376" s="13" t="s">
        <v>716</v>
      </c>
      <c r="G376" s="13"/>
      <c r="H376" s="13" t="s">
        <v>952</v>
      </c>
      <c r="I376" s="65" t="s">
        <v>957</v>
      </c>
      <c r="J376" s="65" t="s">
        <v>1162</v>
      </c>
      <c r="K376" s="13" t="s">
        <v>984</v>
      </c>
      <c r="L376" s="13" t="s">
        <v>821</v>
      </c>
      <c r="M376" s="13"/>
      <c r="N376" s="74"/>
      <c r="O376" s="74"/>
      <c r="P376" s="74"/>
      <c r="Q376" s="74">
        <v>60.5</v>
      </c>
      <c r="R376" s="74">
        <v>25.4</v>
      </c>
      <c r="S376" s="74">
        <v>8.1</v>
      </c>
      <c r="T376" s="74"/>
      <c r="U376" s="74"/>
      <c r="V376" s="74"/>
      <c r="W376" s="74"/>
    </row>
    <row r="377" spans="1:23" x14ac:dyDescent="0.25">
      <c r="A377" s="13" t="s">
        <v>863</v>
      </c>
      <c r="B377" s="14">
        <f>4.9+57.6</f>
        <v>62.5</v>
      </c>
      <c r="C377" s="14" t="s">
        <v>731</v>
      </c>
      <c r="D377" s="14">
        <f t="shared" si="25"/>
        <v>62.5</v>
      </c>
      <c r="E377" s="13">
        <v>8</v>
      </c>
      <c r="F377" s="13" t="s">
        <v>716</v>
      </c>
      <c r="G377" s="13"/>
      <c r="H377" s="13" t="s">
        <v>952</v>
      </c>
      <c r="I377" s="65" t="s">
        <v>957</v>
      </c>
      <c r="J377" s="65" t="s">
        <v>1162</v>
      </c>
      <c r="K377" s="13" t="s">
        <v>984</v>
      </c>
      <c r="L377" s="13" t="s">
        <v>821</v>
      </c>
      <c r="M377" s="13"/>
      <c r="N377" s="74"/>
      <c r="O377" s="74"/>
      <c r="P377" s="74"/>
      <c r="Q377" s="74">
        <v>57.6</v>
      </c>
      <c r="R377" s="74">
        <v>26.9</v>
      </c>
      <c r="S377" s="74">
        <v>8.6999999999999993</v>
      </c>
      <c r="T377" s="74"/>
      <c r="U377" s="74"/>
      <c r="V377" s="74"/>
      <c r="W377" s="74"/>
    </row>
    <row r="378" spans="1:23" x14ac:dyDescent="0.25">
      <c r="A378" s="13" t="s">
        <v>863</v>
      </c>
      <c r="B378" s="14">
        <f>4.4+68.8</f>
        <v>73.2</v>
      </c>
      <c r="C378" s="14" t="s">
        <v>731</v>
      </c>
      <c r="D378" s="14">
        <f t="shared" si="25"/>
        <v>73.2</v>
      </c>
      <c r="E378" s="13">
        <v>8</v>
      </c>
      <c r="F378" s="13" t="s">
        <v>716</v>
      </c>
      <c r="G378" s="13"/>
      <c r="H378" s="13" t="s">
        <v>952</v>
      </c>
      <c r="I378" s="65" t="s">
        <v>957</v>
      </c>
      <c r="J378" s="65" t="s">
        <v>1162</v>
      </c>
      <c r="K378" s="13" t="s">
        <v>984</v>
      </c>
      <c r="L378" s="13" t="s">
        <v>821</v>
      </c>
      <c r="M378" s="13"/>
      <c r="N378" s="74"/>
      <c r="O378" s="74"/>
      <c r="P378" s="74"/>
      <c r="Q378" s="74">
        <v>68.8</v>
      </c>
      <c r="R378" s="74">
        <v>17.600000000000001</v>
      </c>
      <c r="S378" s="74">
        <v>9.1</v>
      </c>
      <c r="T378" s="74"/>
      <c r="U378" s="74"/>
      <c r="V378" s="74"/>
      <c r="W378" s="74"/>
    </row>
    <row r="379" spans="1:23" x14ac:dyDescent="0.25">
      <c r="A379" s="13" t="s">
        <v>863</v>
      </c>
      <c r="B379" s="14">
        <f>2.5+54.5</f>
        <v>57</v>
      </c>
      <c r="C379" s="14" t="s">
        <v>731</v>
      </c>
      <c r="D379" s="14">
        <f t="shared" si="25"/>
        <v>57</v>
      </c>
      <c r="E379" s="13">
        <v>1</v>
      </c>
      <c r="F379" s="13" t="s">
        <v>716</v>
      </c>
      <c r="G379" s="13"/>
      <c r="H379" s="13" t="s">
        <v>952</v>
      </c>
      <c r="I379" s="65" t="s">
        <v>954</v>
      </c>
      <c r="J379" s="65" t="s">
        <v>1162</v>
      </c>
      <c r="K379" s="13" t="s">
        <v>984</v>
      </c>
      <c r="L379" s="13" t="s">
        <v>821</v>
      </c>
      <c r="M379" s="13"/>
      <c r="N379" s="74"/>
      <c r="O379" s="74"/>
      <c r="P379" s="74"/>
      <c r="Q379" s="74">
        <v>54.5</v>
      </c>
      <c r="R379" s="74">
        <v>30.5</v>
      </c>
      <c r="S379" s="74"/>
      <c r="T379" s="74">
        <v>9</v>
      </c>
      <c r="U379" s="74"/>
      <c r="V379" s="74"/>
      <c r="W379" s="74"/>
    </row>
    <row r="380" spans="1:23" x14ac:dyDescent="0.25">
      <c r="A380" s="13" t="s">
        <v>863</v>
      </c>
      <c r="B380" s="14">
        <f>3+93</f>
        <v>96</v>
      </c>
      <c r="C380" s="14" t="s">
        <v>731</v>
      </c>
      <c r="D380" s="14">
        <f t="shared" si="25"/>
        <v>96</v>
      </c>
      <c r="E380" s="15">
        <v>1</v>
      </c>
      <c r="F380" s="13" t="s">
        <v>716</v>
      </c>
      <c r="G380" s="13" t="s">
        <v>731</v>
      </c>
      <c r="H380" s="16" t="s">
        <v>725</v>
      </c>
      <c r="I380" s="65" t="s">
        <v>791</v>
      </c>
      <c r="J380" s="65" t="s">
        <v>800</v>
      </c>
      <c r="K380" s="13" t="s">
        <v>809</v>
      </c>
      <c r="L380" s="13"/>
      <c r="M380" s="13" t="s">
        <v>876</v>
      </c>
      <c r="N380" s="74"/>
      <c r="O380" s="74"/>
      <c r="P380" s="74"/>
      <c r="Q380" s="74"/>
      <c r="R380" s="74">
        <v>93</v>
      </c>
      <c r="S380" s="74"/>
      <c r="T380" s="74"/>
      <c r="U380" s="74"/>
      <c r="V380" s="74"/>
      <c r="W380" s="74"/>
    </row>
    <row r="381" spans="1:23" x14ac:dyDescent="0.25">
      <c r="A381" s="13" t="s">
        <v>863</v>
      </c>
      <c r="B381" s="14">
        <f>2.5+62</f>
        <v>64.5</v>
      </c>
      <c r="C381" s="14" t="s">
        <v>731</v>
      </c>
      <c r="D381" s="14">
        <f t="shared" si="25"/>
        <v>64.5</v>
      </c>
      <c r="E381" s="13">
        <v>10</v>
      </c>
      <c r="F381" s="13" t="s">
        <v>716</v>
      </c>
      <c r="G381" s="13"/>
      <c r="H381" s="13" t="s">
        <v>952</v>
      </c>
      <c r="I381" s="65" t="s">
        <v>960</v>
      </c>
      <c r="J381" s="65" t="s">
        <v>1162</v>
      </c>
      <c r="K381" s="13" t="s">
        <v>984</v>
      </c>
      <c r="L381" s="13" t="s">
        <v>821</v>
      </c>
      <c r="M381" s="13"/>
      <c r="N381" s="74"/>
      <c r="O381" s="74"/>
      <c r="P381" s="74"/>
      <c r="Q381" s="74">
        <v>62</v>
      </c>
      <c r="R381" s="74">
        <v>31.6</v>
      </c>
      <c r="S381" s="74">
        <v>3.9</v>
      </c>
      <c r="T381" s="74"/>
      <c r="U381" s="74"/>
      <c r="V381" s="74"/>
      <c r="W381" s="74"/>
    </row>
    <row r="382" spans="1:23" x14ac:dyDescent="0.25">
      <c r="A382" s="13" t="s">
        <v>863</v>
      </c>
      <c r="B382" s="14">
        <f>4+55</f>
        <v>59</v>
      </c>
      <c r="C382" s="14" t="s">
        <v>731</v>
      </c>
      <c r="D382" s="14">
        <f t="shared" si="25"/>
        <v>59</v>
      </c>
      <c r="E382" s="13">
        <v>1</v>
      </c>
      <c r="F382" s="13" t="s">
        <v>716</v>
      </c>
      <c r="G382" s="13"/>
      <c r="H382" s="13" t="s">
        <v>952</v>
      </c>
      <c r="I382" s="65" t="s">
        <v>956</v>
      </c>
      <c r="J382" s="65" t="s">
        <v>1162</v>
      </c>
      <c r="K382" s="13" t="s">
        <v>984</v>
      </c>
      <c r="L382" s="13" t="s">
        <v>821</v>
      </c>
      <c r="M382" s="13"/>
      <c r="N382" s="74"/>
      <c r="O382" s="74"/>
      <c r="P382" s="74"/>
      <c r="Q382" s="74">
        <v>55</v>
      </c>
      <c r="R382" s="74">
        <v>30</v>
      </c>
      <c r="S382" s="74">
        <v>8</v>
      </c>
      <c r="T382" s="74"/>
      <c r="U382" s="74"/>
      <c r="V382" s="74"/>
      <c r="W382" s="74"/>
    </row>
    <row r="383" spans="1:23" x14ac:dyDescent="0.25">
      <c r="A383" s="13" t="s">
        <v>863</v>
      </c>
      <c r="B383" s="14">
        <f>2.4+61</f>
        <v>63.4</v>
      </c>
      <c r="C383" s="14" t="s">
        <v>731</v>
      </c>
      <c r="D383" s="14">
        <f t="shared" si="25"/>
        <v>63.4</v>
      </c>
      <c r="E383" s="13">
        <v>7</v>
      </c>
      <c r="F383" s="13" t="s">
        <v>716</v>
      </c>
      <c r="G383" s="13"/>
      <c r="H383" s="13" t="s">
        <v>952</v>
      </c>
      <c r="I383" s="65" t="s">
        <v>956</v>
      </c>
      <c r="J383" s="65" t="s">
        <v>1162</v>
      </c>
      <c r="K383" s="13" t="s">
        <v>984</v>
      </c>
      <c r="L383" s="13" t="s">
        <v>821</v>
      </c>
      <c r="M383" s="13"/>
      <c r="N383" s="74"/>
      <c r="O383" s="74"/>
      <c r="P383" s="74"/>
      <c r="Q383" s="74">
        <v>61</v>
      </c>
      <c r="R383" s="74">
        <v>30.8</v>
      </c>
      <c r="S383" s="74">
        <v>5.8</v>
      </c>
      <c r="T383" s="74"/>
      <c r="U383" s="74"/>
      <c r="V383" s="74"/>
      <c r="W383" s="74"/>
    </row>
    <row r="384" spans="1:23" x14ac:dyDescent="0.25">
      <c r="A384" s="13" t="s">
        <v>863</v>
      </c>
      <c r="B384" s="14">
        <f>4.1+60.7</f>
        <v>64.8</v>
      </c>
      <c r="C384" s="14" t="s">
        <v>731</v>
      </c>
      <c r="D384" s="14">
        <f t="shared" si="25"/>
        <v>64.8</v>
      </c>
      <c r="E384" s="13">
        <v>10</v>
      </c>
      <c r="F384" s="13" t="s">
        <v>716</v>
      </c>
      <c r="G384" s="13"/>
      <c r="H384" s="13" t="s">
        <v>952</v>
      </c>
      <c r="I384" s="65" t="s">
        <v>959</v>
      </c>
      <c r="J384" s="65" t="s">
        <v>1162</v>
      </c>
      <c r="K384" s="13" t="s">
        <v>984</v>
      </c>
      <c r="L384" s="13" t="s">
        <v>821</v>
      </c>
      <c r="M384" s="13"/>
      <c r="N384" s="74"/>
      <c r="O384" s="74"/>
      <c r="P384" s="74"/>
      <c r="Q384" s="74">
        <v>60.7</v>
      </c>
      <c r="R384" s="74">
        <v>28.1</v>
      </c>
      <c r="S384" s="74">
        <v>7.1</v>
      </c>
      <c r="T384" s="74"/>
      <c r="U384" s="74"/>
      <c r="V384" s="74"/>
      <c r="W384" s="74"/>
    </row>
    <row r="385" spans="1:23" x14ac:dyDescent="0.25">
      <c r="A385" s="13" t="s">
        <v>863</v>
      </c>
      <c r="B385" s="14">
        <f>(2+5)/2+48</f>
        <v>51.5</v>
      </c>
      <c r="C385" s="14">
        <v>0</v>
      </c>
      <c r="D385" s="14">
        <f>SUM(B385:C385)</f>
        <v>51.5</v>
      </c>
      <c r="E385" s="15">
        <v>1</v>
      </c>
      <c r="F385" s="13" t="s">
        <v>716</v>
      </c>
      <c r="G385" s="13" t="s">
        <v>731</v>
      </c>
      <c r="H385" s="16" t="s">
        <v>725</v>
      </c>
      <c r="I385" s="65" t="s">
        <v>728</v>
      </c>
      <c r="J385" s="65" t="s">
        <v>729</v>
      </c>
      <c r="K385" s="13"/>
      <c r="L385" s="13"/>
      <c r="M385" s="13"/>
      <c r="N385" s="74"/>
      <c r="O385" s="74"/>
      <c r="P385" s="74"/>
      <c r="Q385" s="74">
        <v>32</v>
      </c>
      <c r="R385" s="74">
        <v>48</v>
      </c>
      <c r="S385" s="74"/>
      <c r="T385" s="74"/>
      <c r="U385" s="74"/>
      <c r="V385" s="74"/>
      <c r="W385" s="74"/>
    </row>
    <row r="386" spans="1:23" x14ac:dyDescent="0.25">
      <c r="A386" s="13" t="s">
        <v>863</v>
      </c>
      <c r="B386" s="14">
        <v>3</v>
      </c>
      <c r="C386" s="14" t="s">
        <v>731</v>
      </c>
      <c r="D386" s="14">
        <f t="shared" ref="D386:D393" si="26">SUM(B386:C386)</f>
        <v>3</v>
      </c>
      <c r="E386" s="15">
        <v>1</v>
      </c>
      <c r="F386" s="13" t="s">
        <v>716</v>
      </c>
      <c r="G386" s="13" t="s">
        <v>731</v>
      </c>
      <c r="H386" s="16" t="s">
        <v>725</v>
      </c>
      <c r="I386" s="65" t="s">
        <v>741</v>
      </c>
      <c r="J386" s="65" t="s">
        <v>740</v>
      </c>
      <c r="K386" s="13" t="s">
        <v>884</v>
      </c>
      <c r="L386" s="13"/>
      <c r="M386" s="13" t="s">
        <v>883</v>
      </c>
      <c r="N386" s="74"/>
      <c r="O386" s="74"/>
      <c r="P386" s="74"/>
      <c r="Q386" s="74"/>
      <c r="R386" s="74"/>
      <c r="S386" s="74"/>
      <c r="T386" s="74"/>
      <c r="U386" s="74"/>
      <c r="V386" s="74"/>
      <c r="W386" s="74"/>
    </row>
    <row r="387" spans="1:23" x14ac:dyDescent="0.25">
      <c r="A387" s="13" t="s">
        <v>863</v>
      </c>
      <c r="B387" s="28">
        <f>(2+3)/2</f>
        <v>2.5</v>
      </c>
      <c r="C387" s="28" t="s">
        <v>731</v>
      </c>
      <c r="D387" s="14">
        <f t="shared" si="26"/>
        <v>2.5</v>
      </c>
      <c r="E387" s="15">
        <v>1</v>
      </c>
      <c r="F387" s="13" t="s">
        <v>716</v>
      </c>
      <c r="G387" s="13" t="s">
        <v>731</v>
      </c>
      <c r="H387" s="16" t="s">
        <v>725</v>
      </c>
      <c r="I387" s="65" t="s">
        <v>743</v>
      </c>
      <c r="J387" s="65" t="s">
        <v>742</v>
      </c>
      <c r="K387" s="13" t="s">
        <v>889</v>
      </c>
      <c r="L387" s="13"/>
      <c r="M387" s="13" t="s">
        <v>890</v>
      </c>
      <c r="N387" s="77"/>
      <c r="O387" s="77"/>
      <c r="P387" s="77"/>
      <c r="Q387" s="74"/>
      <c r="R387" s="74"/>
      <c r="S387" s="74"/>
      <c r="T387" s="74"/>
      <c r="U387" s="74"/>
      <c r="V387" s="74"/>
      <c r="W387" s="74"/>
    </row>
    <row r="388" spans="1:23" x14ac:dyDescent="0.25">
      <c r="A388" s="13" t="s">
        <v>863</v>
      </c>
      <c r="B388" s="14">
        <f>0.06*0.95*100</f>
        <v>5.6999999999999993</v>
      </c>
      <c r="C388" s="14">
        <v>5</v>
      </c>
      <c r="D388" s="14">
        <f t="shared" si="26"/>
        <v>10.7</v>
      </c>
      <c r="E388" s="15">
        <v>1</v>
      </c>
      <c r="F388" s="13" t="s">
        <v>716</v>
      </c>
      <c r="G388" s="13" t="s">
        <v>731</v>
      </c>
      <c r="H388" s="16" t="s">
        <v>725</v>
      </c>
      <c r="I388" s="65" t="s">
        <v>746</v>
      </c>
      <c r="J388" s="65" t="s">
        <v>745</v>
      </c>
      <c r="K388" s="13" t="s">
        <v>900</v>
      </c>
      <c r="L388" s="15" t="s">
        <v>770</v>
      </c>
      <c r="M388" s="13" t="s">
        <v>899</v>
      </c>
      <c r="N388" s="74"/>
      <c r="O388" s="74"/>
      <c r="P388" s="74"/>
      <c r="Q388" s="74"/>
      <c r="R388" s="74"/>
      <c r="S388" s="74"/>
      <c r="T388" s="74"/>
      <c r="U388" s="74"/>
      <c r="V388" s="74"/>
      <c r="W388" s="74"/>
    </row>
    <row r="389" spans="1:23" x14ac:dyDescent="0.25">
      <c r="A389" s="13" t="s">
        <v>863</v>
      </c>
      <c r="B389" s="14">
        <v>10</v>
      </c>
      <c r="C389" s="14" t="s">
        <v>731</v>
      </c>
      <c r="D389" s="14">
        <f t="shared" si="26"/>
        <v>10</v>
      </c>
      <c r="E389" s="15">
        <v>1</v>
      </c>
      <c r="F389" s="13" t="s">
        <v>716</v>
      </c>
      <c r="G389" s="13" t="s">
        <v>731</v>
      </c>
      <c r="H389" s="16" t="s">
        <v>725</v>
      </c>
      <c r="I389" s="65" t="s">
        <v>749</v>
      </c>
      <c r="J389" s="65" t="s">
        <v>748</v>
      </c>
      <c r="K389" s="13" t="s">
        <v>764</v>
      </c>
      <c r="L389" s="13"/>
      <c r="M389" s="13" t="s">
        <v>747</v>
      </c>
      <c r="N389" s="74"/>
      <c r="O389" s="74"/>
      <c r="P389" s="74"/>
      <c r="Q389" s="74"/>
      <c r="R389" s="74"/>
      <c r="S389" s="74"/>
      <c r="T389" s="74"/>
      <c r="U389" s="74"/>
      <c r="V389" s="74"/>
      <c r="W389" s="74"/>
    </row>
    <row r="390" spans="1:23" x14ac:dyDescent="0.25">
      <c r="A390" s="13" t="s">
        <v>863</v>
      </c>
      <c r="B390" s="14">
        <f>4+51</f>
        <v>55</v>
      </c>
      <c r="C390" s="14" t="s">
        <v>731</v>
      </c>
      <c r="D390" s="14">
        <f t="shared" si="26"/>
        <v>55</v>
      </c>
      <c r="E390" s="13">
        <v>10</v>
      </c>
      <c r="F390" s="13" t="s">
        <v>716</v>
      </c>
      <c r="G390" s="13"/>
      <c r="H390" s="13" t="s">
        <v>952</v>
      </c>
      <c r="I390" s="65" t="s">
        <v>953</v>
      </c>
      <c r="J390" s="65" t="s">
        <v>1162</v>
      </c>
      <c r="K390" s="13" t="s">
        <v>984</v>
      </c>
      <c r="L390" s="13" t="s">
        <v>821</v>
      </c>
      <c r="M390" s="13"/>
      <c r="N390" s="74"/>
      <c r="O390" s="74"/>
      <c r="P390" s="74"/>
      <c r="Q390" s="74">
        <v>51</v>
      </c>
      <c r="R390" s="74">
        <v>32</v>
      </c>
      <c r="S390" s="74">
        <v>9</v>
      </c>
      <c r="T390" s="74"/>
      <c r="U390" s="74"/>
      <c r="V390" s="74"/>
      <c r="W390" s="74"/>
    </row>
    <row r="391" spans="1:23" x14ac:dyDescent="0.25">
      <c r="A391" s="13" t="s">
        <v>863</v>
      </c>
      <c r="B391" s="14" t="s">
        <v>731</v>
      </c>
      <c r="C391" s="14" t="s">
        <v>731</v>
      </c>
      <c r="D391" s="18">
        <v>80</v>
      </c>
      <c r="E391" s="15">
        <v>1</v>
      </c>
      <c r="F391" s="13" t="s">
        <v>716</v>
      </c>
      <c r="G391" s="13" t="s">
        <v>731</v>
      </c>
      <c r="H391" s="16" t="s">
        <v>725</v>
      </c>
      <c r="I391" s="65" t="s">
        <v>794</v>
      </c>
      <c r="J391" s="65" t="s">
        <v>802</v>
      </c>
      <c r="K391" s="13" t="s">
        <v>971</v>
      </c>
      <c r="L391" s="13"/>
      <c r="M391" s="13" t="s">
        <v>806</v>
      </c>
      <c r="N391" s="74"/>
      <c r="O391" s="74"/>
      <c r="P391" s="74"/>
      <c r="Q391" s="74"/>
      <c r="R391" s="74"/>
      <c r="S391" s="74"/>
      <c r="T391" s="74"/>
      <c r="U391" s="74"/>
      <c r="V391" s="74">
        <v>80</v>
      </c>
      <c r="W391" s="74">
        <v>80</v>
      </c>
    </row>
    <row r="392" spans="1:23" x14ac:dyDescent="0.25">
      <c r="A392" s="13" t="s">
        <v>863</v>
      </c>
      <c r="B392" s="18">
        <v>5</v>
      </c>
      <c r="C392" s="14" t="s">
        <v>731</v>
      </c>
      <c r="D392" s="14">
        <f t="shared" si="26"/>
        <v>5</v>
      </c>
      <c r="E392" s="15">
        <v>1</v>
      </c>
      <c r="F392" s="13" t="s">
        <v>716</v>
      </c>
      <c r="G392" s="13" t="s">
        <v>731</v>
      </c>
      <c r="H392" s="16" t="s">
        <v>13</v>
      </c>
      <c r="I392" s="65" t="s">
        <v>993</v>
      </c>
      <c r="J392" s="65" t="s">
        <v>731</v>
      </c>
      <c r="K392" s="13"/>
      <c r="L392" s="13"/>
      <c r="M392" s="13"/>
      <c r="N392" s="74"/>
      <c r="O392" s="74"/>
      <c r="P392" s="74"/>
      <c r="Q392" s="74"/>
      <c r="R392" s="74"/>
      <c r="S392" s="74"/>
      <c r="T392" s="74"/>
      <c r="U392" s="74"/>
      <c r="V392" s="74"/>
      <c r="W392" s="74"/>
    </row>
    <row r="393" spans="1:23" x14ac:dyDescent="0.25">
      <c r="A393" s="13" t="s">
        <v>863</v>
      </c>
      <c r="B393" s="18">
        <v>85</v>
      </c>
      <c r="C393" s="14" t="s">
        <v>731</v>
      </c>
      <c r="D393" s="14">
        <f t="shared" si="26"/>
        <v>85</v>
      </c>
      <c r="E393" s="15">
        <v>1</v>
      </c>
      <c r="F393" s="13" t="s">
        <v>716</v>
      </c>
      <c r="G393" s="13" t="s">
        <v>731</v>
      </c>
      <c r="H393" s="16" t="s">
        <v>13</v>
      </c>
      <c r="I393" s="65" t="s">
        <v>982</v>
      </c>
      <c r="J393" s="65" t="s">
        <v>731</v>
      </c>
      <c r="K393" s="13"/>
      <c r="L393" s="13"/>
      <c r="M393" s="13" t="s">
        <v>1117</v>
      </c>
      <c r="N393" s="74"/>
      <c r="O393" s="74"/>
      <c r="P393" s="74"/>
      <c r="Q393" s="74"/>
      <c r="R393" s="74"/>
      <c r="S393" s="74"/>
      <c r="T393" s="74"/>
      <c r="U393" s="74"/>
      <c r="V393" s="74"/>
      <c r="W393" s="74"/>
    </row>
    <row r="394" spans="1:23" x14ac:dyDescent="0.25">
      <c r="A394" s="21" t="s">
        <v>723</v>
      </c>
      <c r="B394" s="22">
        <v>27</v>
      </c>
      <c r="C394" s="22" t="s">
        <v>731</v>
      </c>
      <c r="D394" s="22">
        <f t="shared" ref="D394:D397" si="27">SUM(B394:C394)</f>
        <v>27</v>
      </c>
      <c r="E394" s="21">
        <v>5</v>
      </c>
      <c r="F394" s="21" t="s">
        <v>716</v>
      </c>
      <c r="G394" s="23" t="s">
        <v>218</v>
      </c>
      <c r="H394" s="23" t="s">
        <v>13</v>
      </c>
      <c r="I394" s="65" t="s">
        <v>256</v>
      </c>
      <c r="J394" s="65" t="s">
        <v>1162</v>
      </c>
      <c r="K394" s="21" t="s">
        <v>786</v>
      </c>
      <c r="L394" s="21" t="s">
        <v>796</v>
      </c>
      <c r="M394" s="21"/>
      <c r="N394" s="87"/>
      <c r="O394" s="87"/>
      <c r="P394" s="87"/>
      <c r="Q394" s="87" t="s">
        <v>717</v>
      </c>
      <c r="R394" s="87"/>
      <c r="S394" s="87"/>
      <c r="T394" s="87"/>
      <c r="U394" s="87"/>
      <c r="V394" s="87"/>
      <c r="W394" s="87"/>
    </row>
    <row r="395" spans="1:23" x14ac:dyDescent="0.25">
      <c r="A395" s="21" t="s">
        <v>723</v>
      </c>
      <c r="B395" s="22">
        <v>79</v>
      </c>
      <c r="C395" s="22" t="s">
        <v>731</v>
      </c>
      <c r="D395" s="22">
        <f t="shared" si="27"/>
        <v>79</v>
      </c>
      <c r="E395" s="21">
        <v>5</v>
      </c>
      <c r="F395" s="21" t="s">
        <v>716</v>
      </c>
      <c r="G395" s="23" t="s">
        <v>220</v>
      </c>
      <c r="H395" s="23" t="s">
        <v>13</v>
      </c>
      <c r="I395" s="65" t="s">
        <v>256</v>
      </c>
      <c r="J395" s="65" t="s">
        <v>1162</v>
      </c>
      <c r="K395" s="21" t="s">
        <v>786</v>
      </c>
      <c r="L395" s="21" t="s">
        <v>796</v>
      </c>
      <c r="M395" s="21"/>
      <c r="N395" s="87"/>
      <c r="O395" s="87"/>
      <c r="P395" s="87"/>
      <c r="Q395" s="87" t="s">
        <v>717</v>
      </c>
      <c r="R395" s="87"/>
      <c r="S395" s="87"/>
      <c r="T395" s="87"/>
      <c r="U395" s="87"/>
      <c r="V395" s="87"/>
      <c r="W395" s="87"/>
    </row>
    <row r="396" spans="1:23" x14ac:dyDescent="0.25">
      <c r="A396" s="21" t="s">
        <v>723</v>
      </c>
      <c r="B396" s="22">
        <v>51</v>
      </c>
      <c r="C396" s="22" t="s">
        <v>731</v>
      </c>
      <c r="D396" s="22">
        <f t="shared" si="27"/>
        <v>51</v>
      </c>
      <c r="E396" s="21">
        <v>1</v>
      </c>
      <c r="F396" s="21" t="s">
        <v>716</v>
      </c>
      <c r="G396" s="23" t="s">
        <v>218</v>
      </c>
      <c r="H396" s="23" t="s">
        <v>13</v>
      </c>
      <c r="I396" s="65" t="s">
        <v>256</v>
      </c>
      <c r="J396" s="65" t="s">
        <v>1162</v>
      </c>
      <c r="K396" s="21" t="s">
        <v>786</v>
      </c>
      <c r="L396" s="21" t="s">
        <v>796</v>
      </c>
      <c r="M396" s="21"/>
      <c r="N396" s="87"/>
      <c r="O396" s="87"/>
      <c r="P396" s="87"/>
      <c r="Q396" s="87" t="s">
        <v>717</v>
      </c>
      <c r="R396" s="87"/>
      <c r="S396" s="87"/>
      <c r="T396" s="87"/>
      <c r="U396" s="87"/>
      <c r="V396" s="87"/>
      <c r="W396" s="87"/>
    </row>
    <row r="397" spans="1:23" x14ac:dyDescent="0.25">
      <c r="A397" s="21" t="s">
        <v>723</v>
      </c>
      <c r="B397" s="22">
        <v>69</v>
      </c>
      <c r="C397" s="22" t="s">
        <v>731</v>
      </c>
      <c r="D397" s="22">
        <f t="shared" si="27"/>
        <v>69</v>
      </c>
      <c r="E397" s="21">
        <v>1</v>
      </c>
      <c r="F397" s="21" t="s">
        <v>716</v>
      </c>
      <c r="G397" s="23" t="s">
        <v>220</v>
      </c>
      <c r="H397" s="23" t="s">
        <v>13</v>
      </c>
      <c r="I397" s="65" t="s">
        <v>256</v>
      </c>
      <c r="J397" s="65" t="s">
        <v>1162</v>
      </c>
      <c r="K397" s="21" t="s">
        <v>786</v>
      </c>
      <c r="L397" s="21" t="s">
        <v>796</v>
      </c>
      <c r="M397" s="21"/>
      <c r="N397" s="87"/>
      <c r="O397" s="87"/>
      <c r="P397" s="87"/>
      <c r="Q397" s="87" t="s">
        <v>717</v>
      </c>
      <c r="R397" s="87"/>
      <c r="S397" s="87"/>
      <c r="T397" s="87"/>
      <c r="U397" s="87"/>
      <c r="V397" s="87"/>
      <c r="W397" s="87"/>
    </row>
    <row r="398" spans="1:23" x14ac:dyDescent="0.25">
      <c r="A398" s="21" t="s">
        <v>723</v>
      </c>
      <c r="B398" s="22" t="s">
        <v>731</v>
      </c>
      <c r="C398" s="22" t="s">
        <v>731</v>
      </c>
      <c r="D398" s="27">
        <v>50</v>
      </c>
      <c r="E398" s="25">
        <v>1</v>
      </c>
      <c r="F398" s="21" t="s">
        <v>716</v>
      </c>
      <c r="G398" s="21" t="s">
        <v>731</v>
      </c>
      <c r="H398" s="23" t="s">
        <v>725</v>
      </c>
      <c r="I398" s="65" t="s">
        <v>732</v>
      </c>
      <c r="J398" s="65" t="s">
        <v>770</v>
      </c>
      <c r="K398" s="21" t="s">
        <v>734</v>
      </c>
      <c r="L398" s="21" t="s">
        <v>733</v>
      </c>
      <c r="M398" s="21" t="s">
        <v>753</v>
      </c>
      <c r="N398" s="88"/>
      <c r="O398" s="88"/>
      <c r="P398" s="88"/>
      <c r="Q398" s="87"/>
      <c r="R398" s="87"/>
      <c r="S398" s="87"/>
      <c r="T398" s="87"/>
      <c r="U398" s="87"/>
      <c r="V398" s="87"/>
      <c r="W398" s="87">
        <v>50</v>
      </c>
    </row>
    <row r="399" spans="1:23" x14ac:dyDescent="0.25">
      <c r="A399" s="21" t="s">
        <v>723</v>
      </c>
      <c r="B399" s="22">
        <v>8.6999999999999993</v>
      </c>
      <c r="C399" s="22" t="s">
        <v>731</v>
      </c>
      <c r="D399" s="22">
        <f t="shared" ref="D399:D401" si="28">SUM(B399:C399)</f>
        <v>8.6999999999999993</v>
      </c>
      <c r="E399" s="21">
        <v>10</v>
      </c>
      <c r="F399" s="21" t="s">
        <v>719</v>
      </c>
      <c r="G399" s="23" t="s">
        <v>218</v>
      </c>
      <c r="H399" s="23" t="s">
        <v>13</v>
      </c>
      <c r="I399" s="65" t="s">
        <v>257</v>
      </c>
      <c r="J399" s="65" t="s">
        <v>1162</v>
      </c>
      <c r="K399" s="21" t="s">
        <v>786</v>
      </c>
      <c r="L399" s="21" t="s">
        <v>796</v>
      </c>
      <c r="M399" s="21"/>
      <c r="N399" s="87"/>
      <c r="O399" s="87"/>
      <c r="P399" s="87"/>
      <c r="Q399" s="87" t="s">
        <v>717</v>
      </c>
      <c r="R399" s="87"/>
      <c r="S399" s="87"/>
      <c r="T399" s="87"/>
      <c r="U399" s="87"/>
      <c r="V399" s="87"/>
      <c r="W399" s="87"/>
    </row>
    <row r="400" spans="1:23" x14ac:dyDescent="0.25">
      <c r="A400" s="21" t="s">
        <v>723</v>
      </c>
      <c r="B400" s="22">
        <v>19.5</v>
      </c>
      <c r="C400" s="22" t="s">
        <v>731</v>
      </c>
      <c r="D400" s="22">
        <f t="shared" si="28"/>
        <v>19.5</v>
      </c>
      <c r="E400" s="21">
        <v>10</v>
      </c>
      <c r="F400" s="21" t="s">
        <v>719</v>
      </c>
      <c r="G400" s="23" t="s">
        <v>220</v>
      </c>
      <c r="H400" s="23" t="s">
        <v>13</v>
      </c>
      <c r="I400" s="65" t="s">
        <v>257</v>
      </c>
      <c r="J400" s="65" t="s">
        <v>1162</v>
      </c>
      <c r="K400" s="21" t="s">
        <v>786</v>
      </c>
      <c r="L400" s="21" t="s">
        <v>796</v>
      </c>
      <c r="M400" s="21"/>
      <c r="N400" s="87"/>
      <c r="O400" s="87"/>
      <c r="P400" s="87"/>
      <c r="Q400" s="87" t="s">
        <v>717</v>
      </c>
      <c r="R400" s="87"/>
      <c r="S400" s="87"/>
      <c r="T400" s="87"/>
      <c r="U400" s="87"/>
      <c r="V400" s="87"/>
      <c r="W400" s="87"/>
    </row>
    <row r="401" spans="1:23" x14ac:dyDescent="0.25">
      <c r="A401" s="21" t="s">
        <v>723</v>
      </c>
      <c r="B401" s="22">
        <v>24</v>
      </c>
      <c r="C401" s="22" t="s">
        <v>731</v>
      </c>
      <c r="D401" s="22">
        <f t="shared" si="28"/>
        <v>24</v>
      </c>
      <c r="E401" s="21">
        <v>6</v>
      </c>
      <c r="F401" s="21" t="s">
        <v>716</v>
      </c>
      <c r="G401" s="23" t="s">
        <v>218</v>
      </c>
      <c r="H401" s="23" t="s">
        <v>13</v>
      </c>
      <c r="I401" s="65" t="s">
        <v>253</v>
      </c>
      <c r="J401" s="65" t="s">
        <v>1162</v>
      </c>
      <c r="K401" s="21" t="s">
        <v>786</v>
      </c>
      <c r="L401" s="21" t="s">
        <v>796</v>
      </c>
      <c r="M401" s="21"/>
      <c r="N401" s="87"/>
      <c r="O401" s="87"/>
      <c r="P401" s="87"/>
      <c r="Q401" s="87" t="s">
        <v>717</v>
      </c>
      <c r="R401" s="87"/>
      <c r="S401" s="87"/>
      <c r="T401" s="87"/>
      <c r="U401" s="87"/>
      <c r="V401" s="87"/>
      <c r="W401" s="87"/>
    </row>
    <row r="402" spans="1:23" x14ac:dyDescent="0.25">
      <c r="A402" s="21" t="s">
        <v>723</v>
      </c>
      <c r="B402" s="22" t="s">
        <v>731</v>
      </c>
      <c r="C402" s="22" t="s">
        <v>731</v>
      </c>
      <c r="D402" s="22">
        <v>40</v>
      </c>
      <c r="E402" s="25">
        <v>1</v>
      </c>
      <c r="F402" s="21" t="s">
        <v>716</v>
      </c>
      <c r="G402" s="21" t="s">
        <v>731</v>
      </c>
      <c r="H402" s="23" t="s">
        <v>725</v>
      </c>
      <c r="I402" s="65" t="s">
        <v>737</v>
      </c>
      <c r="J402" s="66" t="s">
        <v>736</v>
      </c>
      <c r="K402" s="21"/>
      <c r="L402" s="21"/>
      <c r="M402" s="21" t="s">
        <v>735</v>
      </c>
      <c r="N402" s="87"/>
      <c r="O402" s="87"/>
      <c r="P402" s="87"/>
      <c r="Q402" s="87"/>
      <c r="R402" s="87"/>
      <c r="S402" s="87"/>
      <c r="T402" s="87"/>
      <c r="U402" s="87"/>
      <c r="V402" s="87"/>
      <c r="W402" s="87"/>
    </row>
    <row r="403" spans="1:23" x14ac:dyDescent="0.25">
      <c r="A403" s="21" t="s">
        <v>723</v>
      </c>
      <c r="B403" s="22" t="s">
        <v>731</v>
      </c>
      <c r="C403" s="22" t="s">
        <v>731</v>
      </c>
      <c r="D403" s="22">
        <f>(30+70)/2</f>
        <v>50</v>
      </c>
      <c r="E403" s="25">
        <v>1</v>
      </c>
      <c r="F403" s="21" t="s">
        <v>716</v>
      </c>
      <c r="G403" s="21" t="s">
        <v>731</v>
      </c>
      <c r="H403" s="23" t="s">
        <v>725</v>
      </c>
      <c r="I403" s="65" t="s">
        <v>739</v>
      </c>
      <c r="J403" s="65" t="s">
        <v>738</v>
      </c>
      <c r="K403" s="21"/>
      <c r="L403" s="21"/>
      <c r="M403" s="21" t="s">
        <v>871</v>
      </c>
      <c r="N403" s="101"/>
      <c r="O403" s="101"/>
      <c r="P403" s="101"/>
      <c r="Q403" s="87"/>
      <c r="R403" s="87"/>
      <c r="S403" s="87"/>
      <c r="T403" s="87"/>
      <c r="U403" s="101"/>
      <c r="V403" s="87"/>
      <c r="W403" s="87"/>
    </row>
    <row r="404" spans="1:23" x14ac:dyDescent="0.25">
      <c r="A404" s="21" t="s">
        <v>723</v>
      </c>
      <c r="B404" s="22" t="s">
        <v>731</v>
      </c>
      <c r="C404" s="22" t="s">
        <v>731</v>
      </c>
      <c r="D404" s="22">
        <v>30</v>
      </c>
      <c r="E404" s="25">
        <v>1</v>
      </c>
      <c r="F404" s="21" t="s">
        <v>716</v>
      </c>
      <c r="G404" s="21" t="s">
        <v>731</v>
      </c>
      <c r="H404" s="23" t="s">
        <v>725</v>
      </c>
      <c r="I404" s="65" t="s">
        <v>791</v>
      </c>
      <c r="J404" s="65" t="s">
        <v>800</v>
      </c>
      <c r="K404" s="21" t="s">
        <v>809</v>
      </c>
      <c r="L404" s="21"/>
      <c r="M404" s="21" t="s">
        <v>876</v>
      </c>
      <c r="N404" s="87"/>
      <c r="O404" s="87"/>
      <c r="P404" s="87"/>
      <c r="Q404" s="87"/>
      <c r="R404" s="87"/>
      <c r="S404" s="87"/>
      <c r="T404" s="87"/>
      <c r="U404" s="87"/>
      <c r="V404" s="87"/>
      <c r="W404" s="87"/>
    </row>
    <row r="405" spans="1:23" x14ac:dyDescent="0.25">
      <c r="A405" s="21" t="s">
        <v>723</v>
      </c>
      <c r="B405" s="22">
        <f>(35+40)/2</f>
        <v>37.5</v>
      </c>
      <c r="C405" s="22">
        <v>26</v>
      </c>
      <c r="D405" s="22">
        <f>SUM(B405:C405)</f>
        <v>63.5</v>
      </c>
      <c r="E405" s="25">
        <v>1</v>
      </c>
      <c r="F405" s="21" t="s">
        <v>716</v>
      </c>
      <c r="G405" s="21" t="s">
        <v>731</v>
      </c>
      <c r="H405" s="23" t="s">
        <v>725</v>
      </c>
      <c r="I405" s="65" t="s">
        <v>728</v>
      </c>
      <c r="J405" s="65" t="s">
        <v>729</v>
      </c>
      <c r="K405" s="21"/>
      <c r="L405" s="21"/>
      <c r="M405" s="21"/>
      <c r="N405" s="87"/>
      <c r="O405" s="87"/>
      <c r="P405" s="87"/>
      <c r="Q405" s="87">
        <f>6+2+2</f>
        <v>10</v>
      </c>
      <c r="R405" s="87"/>
      <c r="S405" s="87"/>
      <c r="T405" s="87"/>
      <c r="U405" s="87"/>
      <c r="V405" s="87"/>
      <c r="W405" s="87"/>
    </row>
    <row r="406" spans="1:23" x14ac:dyDescent="0.25">
      <c r="A406" s="21" t="s">
        <v>723</v>
      </c>
      <c r="B406" s="22" t="s">
        <v>731</v>
      </c>
      <c r="C406" s="22" t="s">
        <v>731</v>
      </c>
      <c r="D406" s="22">
        <f>(68+79)/2</f>
        <v>73.5</v>
      </c>
      <c r="E406" s="25">
        <v>1</v>
      </c>
      <c r="F406" s="21" t="s">
        <v>716</v>
      </c>
      <c r="G406" s="21" t="s">
        <v>731</v>
      </c>
      <c r="H406" s="23" t="s">
        <v>725</v>
      </c>
      <c r="I406" s="65" t="s">
        <v>743</v>
      </c>
      <c r="J406" s="65" t="s">
        <v>742</v>
      </c>
      <c r="K406" s="21" t="s">
        <v>889</v>
      </c>
      <c r="L406" s="21"/>
      <c r="M406" s="21" t="s">
        <v>890</v>
      </c>
      <c r="N406" s="87"/>
      <c r="O406" s="87"/>
      <c r="P406" s="87"/>
      <c r="Q406" s="87"/>
      <c r="R406" s="87"/>
      <c r="S406" s="87"/>
      <c r="T406" s="87"/>
      <c r="U406" s="87"/>
      <c r="V406" s="87"/>
      <c r="W406" s="87"/>
    </row>
    <row r="407" spans="1:23" x14ac:dyDescent="0.25">
      <c r="A407" s="21" t="s">
        <v>723</v>
      </c>
      <c r="B407" s="22">
        <v>26.6</v>
      </c>
      <c r="C407" s="22" t="s">
        <v>731</v>
      </c>
      <c r="D407" s="22">
        <f t="shared" ref="D407:D413" si="29">SUM(B407:C407)</f>
        <v>26.6</v>
      </c>
      <c r="E407" s="21">
        <v>4</v>
      </c>
      <c r="F407" s="21" t="s">
        <v>716</v>
      </c>
      <c r="G407" s="23" t="s">
        <v>218</v>
      </c>
      <c r="H407" s="23" t="s">
        <v>13</v>
      </c>
      <c r="I407" s="65" t="s">
        <v>255</v>
      </c>
      <c r="J407" s="65" t="s">
        <v>1162</v>
      </c>
      <c r="K407" s="21" t="s">
        <v>786</v>
      </c>
      <c r="L407" s="21" t="s">
        <v>796</v>
      </c>
      <c r="M407" s="21"/>
      <c r="N407" s="87"/>
      <c r="O407" s="87"/>
      <c r="P407" s="87"/>
      <c r="Q407" s="87" t="s">
        <v>717</v>
      </c>
      <c r="R407" s="87"/>
      <c r="S407" s="87"/>
      <c r="T407" s="87"/>
      <c r="U407" s="87"/>
      <c r="V407" s="87"/>
      <c r="W407" s="87"/>
    </row>
    <row r="408" spans="1:23" x14ac:dyDescent="0.25">
      <c r="A408" s="21" t="s">
        <v>723</v>
      </c>
      <c r="B408" s="22">
        <v>68.2</v>
      </c>
      <c r="C408" s="22" t="s">
        <v>731</v>
      </c>
      <c r="D408" s="22">
        <f t="shared" si="29"/>
        <v>68.2</v>
      </c>
      <c r="E408" s="21">
        <v>4</v>
      </c>
      <c r="F408" s="21" t="s">
        <v>716</v>
      </c>
      <c r="G408" s="23" t="s">
        <v>220</v>
      </c>
      <c r="H408" s="23" t="s">
        <v>13</v>
      </c>
      <c r="I408" s="65" t="s">
        <v>255</v>
      </c>
      <c r="J408" s="65" t="s">
        <v>1162</v>
      </c>
      <c r="K408" s="21" t="s">
        <v>786</v>
      </c>
      <c r="L408" s="21" t="s">
        <v>796</v>
      </c>
      <c r="M408" s="21"/>
      <c r="N408" s="87"/>
      <c r="O408" s="87"/>
      <c r="P408" s="87"/>
      <c r="Q408" s="87" t="s">
        <v>717</v>
      </c>
      <c r="R408" s="87"/>
      <c r="S408" s="87"/>
      <c r="T408" s="87"/>
      <c r="U408" s="87"/>
      <c r="V408" s="87"/>
      <c r="W408" s="87"/>
    </row>
    <row r="409" spans="1:23" x14ac:dyDescent="0.25">
      <c r="A409" s="21" t="s">
        <v>723</v>
      </c>
      <c r="B409" s="22">
        <v>22.5</v>
      </c>
      <c r="C409" s="22" t="s">
        <v>731</v>
      </c>
      <c r="D409" s="22">
        <f t="shared" si="29"/>
        <v>22.5</v>
      </c>
      <c r="E409" s="21">
        <v>6</v>
      </c>
      <c r="F409" s="21" t="s">
        <v>716</v>
      </c>
      <c r="G409" s="23" t="s">
        <v>218</v>
      </c>
      <c r="H409" s="23" t="s">
        <v>13</v>
      </c>
      <c r="I409" s="65" t="s">
        <v>258</v>
      </c>
      <c r="J409" s="65" t="s">
        <v>1162</v>
      </c>
      <c r="K409" s="21" t="s">
        <v>786</v>
      </c>
      <c r="L409" s="21" t="s">
        <v>796</v>
      </c>
      <c r="M409" s="21"/>
      <c r="N409" s="87"/>
      <c r="O409" s="87"/>
      <c r="P409" s="87"/>
      <c r="Q409" s="87" t="s">
        <v>717</v>
      </c>
      <c r="R409" s="87"/>
      <c r="S409" s="87"/>
      <c r="T409" s="87"/>
      <c r="U409" s="87"/>
      <c r="V409" s="87"/>
      <c r="W409" s="87"/>
    </row>
    <row r="410" spans="1:23" x14ac:dyDescent="0.25">
      <c r="A410" s="21" t="s">
        <v>723</v>
      </c>
      <c r="B410" s="22">
        <v>40.270000000000003</v>
      </c>
      <c r="C410" s="22" t="s">
        <v>731</v>
      </c>
      <c r="D410" s="22">
        <f t="shared" si="29"/>
        <v>40.270000000000003</v>
      </c>
      <c r="E410" s="21">
        <v>2</v>
      </c>
      <c r="F410" s="21" t="s">
        <v>716</v>
      </c>
      <c r="G410" s="23" t="s">
        <v>218</v>
      </c>
      <c r="H410" s="23" t="s">
        <v>13</v>
      </c>
      <c r="I410" s="65" t="s">
        <v>254</v>
      </c>
      <c r="J410" s="65" t="s">
        <v>1162</v>
      </c>
      <c r="K410" s="21" t="s">
        <v>786</v>
      </c>
      <c r="L410" s="21" t="s">
        <v>796</v>
      </c>
      <c r="M410" s="21"/>
      <c r="N410" s="87"/>
      <c r="O410" s="87"/>
      <c r="P410" s="87"/>
      <c r="Q410" s="87" t="s">
        <v>717</v>
      </c>
      <c r="R410" s="87"/>
      <c r="S410" s="87"/>
      <c r="T410" s="87"/>
      <c r="U410" s="87"/>
      <c r="V410" s="87"/>
      <c r="W410" s="87"/>
    </row>
    <row r="411" spans="1:23" x14ac:dyDescent="0.25">
      <c r="A411" s="21" t="s">
        <v>723</v>
      </c>
      <c r="B411" s="27">
        <v>5</v>
      </c>
      <c r="C411" s="22" t="s">
        <v>731</v>
      </c>
      <c r="D411" s="22" t="s">
        <v>731</v>
      </c>
      <c r="E411" s="25">
        <v>1</v>
      </c>
      <c r="F411" s="21" t="s">
        <v>716</v>
      </c>
      <c r="G411" s="21" t="s">
        <v>731</v>
      </c>
      <c r="H411" s="23" t="s">
        <v>13</v>
      </c>
      <c r="I411" s="65" t="s">
        <v>993</v>
      </c>
      <c r="J411" s="65" t="s">
        <v>731</v>
      </c>
      <c r="K411" s="21"/>
      <c r="L411" s="21"/>
      <c r="M411" s="21"/>
      <c r="N411" s="87"/>
      <c r="O411" s="87"/>
      <c r="P411" s="87"/>
      <c r="Q411" s="87"/>
      <c r="R411" s="87"/>
      <c r="S411" s="87"/>
      <c r="T411" s="87"/>
      <c r="U411" s="87"/>
      <c r="V411" s="87"/>
      <c r="W411" s="87"/>
    </row>
    <row r="412" spans="1:23" x14ac:dyDescent="0.25">
      <c r="A412" s="21" t="s">
        <v>723</v>
      </c>
      <c r="B412" s="27">
        <v>30</v>
      </c>
      <c r="C412" s="22">
        <f>(40+50)/2</f>
        <v>45</v>
      </c>
      <c r="D412" s="22">
        <f t="shared" si="29"/>
        <v>75</v>
      </c>
      <c r="E412" s="25">
        <v>1</v>
      </c>
      <c r="F412" s="21" t="s">
        <v>716</v>
      </c>
      <c r="G412" s="21" t="s">
        <v>218</v>
      </c>
      <c r="H412" s="23" t="s">
        <v>13</v>
      </c>
      <c r="I412" s="65" t="s">
        <v>849</v>
      </c>
      <c r="J412" s="65" t="s">
        <v>1120</v>
      </c>
      <c r="K412" s="21"/>
      <c r="L412" s="21" t="s">
        <v>1120</v>
      </c>
      <c r="M412" s="21" t="s">
        <v>1118</v>
      </c>
      <c r="N412" s="87"/>
      <c r="O412" s="87"/>
      <c r="P412" s="87"/>
      <c r="Q412" s="87"/>
      <c r="R412" s="87"/>
      <c r="S412" s="87"/>
      <c r="T412" s="87"/>
      <c r="U412" s="87"/>
      <c r="V412" s="87"/>
      <c r="W412" s="87"/>
    </row>
    <row r="413" spans="1:23" x14ac:dyDescent="0.25">
      <c r="A413" s="21" t="s">
        <v>723</v>
      </c>
      <c r="B413" s="27">
        <v>70</v>
      </c>
      <c r="C413" s="22" t="s">
        <v>731</v>
      </c>
      <c r="D413" s="22">
        <f t="shared" si="29"/>
        <v>70</v>
      </c>
      <c r="E413" s="25">
        <v>1</v>
      </c>
      <c r="F413" s="21" t="s">
        <v>716</v>
      </c>
      <c r="G413" s="21" t="s">
        <v>220</v>
      </c>
      <c r="H413" s="23" t="s">
        <v>13</v>
      </c>
      <c r="I413" s="21" t="s">
        <v>1144</v>
      </c>
      <c r="J413" s="21" t="s">
        <v>1119</v>
      </c>
      <c r="K413" s="21"/>
      <c r="L413" s="21"/>
      <c r="M413" s="21"/>
      <c r="N413" s="87"/>
      <c r="O413" s="87"/>
      <c r="P413" s="87"/>
      <c r="Q413" s="87"/>
      <c r="R413" s="87"/>
      <c r="S413" s="87"/>
      <c r="T413" s="87"/>
      <c r="U413" s="87"/>
      <c r="V413" s="87"/>
      <c r="W413" s="87"/>
    </row>
    <row r="414" spans="1:23" x14ac:dyDescent="0.25">
      <c r="A414" s="16" t="s">
        <v>84</v>
      </c>
      <c r="B414" s="60">
        <v>50.3</v>
      </c>
      <c r="C414" s="14" t="s">
        <v>731</v>
      </c>
      <c r="D414" s="60">
        <f>SUM(B414:C414)</f>
        <v>50.3</v>
      </c>
      <c r="E414" s="50">
        <v>10</v>
      </c>
      <c r="F414" s="16" t="s">
        <v>12</v>
      </c>
      <c r="G414" s="16" t="s">
        <v>218</v>
      </c>
      <c r="H414" s="16" t="s">
        <v>13</v>
      </c>
      <c r="I414" s="16" t="s">
        <v>73</v>
      </c>
      <c r="J414" s="13" t="s">
        <v>1162</v>
      </c>
      <c r="K414" s="13" t="s">
        <v>222</v>
      </c>
      <c r="L414" s="13" t="s">
        <v>818</v>
      </c>
      <c r="M414" s="13"/>
      <c r="N414" s="84"/>
      <c r="O414" s="84"/>
      <c r="P414" s="84"/>
      <c r="Q414" s="79">
        <v>22.1</v>
      </c>
      <c r="R414" s="74"/>
      <c r="S414" s="74"/>
      <c r="T414" s="74"/>
      <c r="U414" s="74"/>
      <c r="V414" s="74"/>
      <c r="W414" s="74"/>
    </row>
    <row r="415" spans="1:23" x14ac:dyDescent="0.25">
      <c r="A415" s="16" t="s">
        <v>84</v>
      </c>
      <c r="B415" s="49">
        <v>15.6</v>
      </c>
      <c r="C415" s="14" t="s">
        <v>731</v>
      </c>
      <c r="D415" s="49">
        <f>SUM(B415:C415)</f>
        <v>15.6</v>
      </c>
      <c r="E415" s="50">
        <v>13</v>
      </c>
      <c r="F415" s="16" t="s">
        <v>36</v>
      </c>
      <c r="G415" s="16" t="s">
        <v>218</v>
      </c>
      <c r="H415" s="16" t="s">
        <v>13</v>
      </c>
      <c r="I415" s="16" t="s">
        <v>75</v>
      </c>
      <c r="J415" s="13" t="s">
        <v>1162</v>
      </c>
      <c r="K415" s="13" t="s">
        <v>222</v>
      </c>
      <c r="L415" s="13" t="s">
        <v>818</v>
      </c>
      <c r="M415" s="13"/>
      <c r="N415" s="79"/>
      <c r="O415" s="79"/>
      <c r="P415" s="79"/>
      <c r="Q415" s="74"/>
      <c r="R415" s="74"/>
      <c r="S415" s="74"/>
      <c r="T415" s="74"/>
      <c r="U415" s="74"/>
      <c r="V415" s="74"/>
      <c r="W415" s="74"/>
    </row>
    <row r="416" spans="1:23" x14ac:dyDescent="0.25">
      <c r="A416" s="16" t="s">
        <v>84</v>
      </c>
      <c r="B416" s="49">
        <v>30.8</v>
      </c>
      <c r="C416" s="14" t="s">
        <v>731</v>
      </c>
      <c r="D416" s="49">
        <f t="shared" ref="D416:D456" si="30">SUM(B416:C416)</f>
        <v>30.8</v>
      </c>
      <c r="E416" s="50">
        <v>7</v>
      </c>
      <c r="F416" s="16" t="s">
        <v>36</v>
      </c>
      <c r="G416" s="16" t="s">
        <v>218</v>
      </c>
      <c r="H416" s="16" t="s">
        <v>13</v>
      </c>
      <c r="I416" s="16" t="s">
        <v>41</v>
      </c>
      <c r="J416" s="13" t="s">
        <v>1162</v>
      </c>
      <c r="K416" s="13" t="s">
        <v>222</v>
      </c>
      <c r="L416" s="13" t="s">
        <v>818</v>
      </c>
      <c r="M416" s="13"/>
      <c r="N416" s="79"/>
      <c r="O416" s="79"/>
      <c r="P416" s="79"/>
      <c r="Q416" s="74"/>
      <c r="R416" s="74"/>
      <c r="S416" s="74"/>
      <c r="T416" s="74"/>
      <c r="U416" s="74"/>
      <c r="V416" s="74"/>
      <c r="W416" s="74"/>
    </row>
    <row r="417" spans="1:23" x14ac:dyDescent="0.25">
      <c r="A417" s="16" t="s">
        <v>84</v>
      </c>
      <c r="B417" s="49">
        <v>3.7</v>
      </c>
      <c r="C417" s="14" t="s">
        <v>731</v>
      </c>
      <c r="D417" s="49">
        <f t="shared" si="30"/>
        <v>3.7</v>
      </c>
      <c r="E417" s="50">
        <v>7</v>
      </c>
      <c r="F417" s="16" t="s">
        <v>36</v>
      </c>
      <c r="G417" s="16" t="s">
        <v>218</v>
      </c>
      <c r="H417" s="16" t="s">
        <v>13</v>
      </c>
      <c r="I417" s="16" t="s">
        <v>41</v>
      </c>
      <c r="J417" s="13" t="s">
        <v>1162</v>
      </c>
      <c r="K417" s="13" t="s">
        <v>222</v>
      </c>
      <c r="L417" s="13" t="s">
        <v>818</v>
      </c>
      <c r="M417" s="13"/>
      <c r="N417" s="79"/>
      <c r="O417" s="79"/>
      <c r="P417" s="79"/>
      <c r="Q417" s="74"/>
      <c r="R417" s="74"/>
      <c r="S417" s="74"/>
      <c r="T417" s="74"/>
      <c r="U417" s="74"/>
      <c r="V417" s="74"/>
      <c r="W417" s="74"/>
    </row>
    <row r="418" spans="1:23" x14ac:dyDescent="0.25">
      <c r="A418" s="16" t="s">
        <v>84</v>
      </c>
      <c r="B418" s="49">
        <v>28.9</v>
      </c>
      <c r="C418" s="14" t="s">
        <v>731</v>
      </c>
      <c r="D418" s="49">
        <f t="shared" si="30"/>
        <v>28.9</v>
      </c>
      <c r="E418" s="50">
        <v>8</v>
      </c>
      <c r="F418" s="61" t="s">
        <v>12</v>
      </c>
      <c r="G418" s="61" t="s">
        <v>218</v>
      </c>
      <c r="H418" s="61" t="s">
        <v>13</v>
      </c>
      <c r="I418" s="61" t="s">
        <v>86</v>
      </c>
      <c r="J418" s="13" t="s">
        <v>1162</v>
      </c>
      <c r="K418" s="13" t="s">
        <v>222</v>
      </c>
      <c r="L418" s="13" t="s">
        <v>818</v>
      </c>
      <c r="M418" s="13"/>
      <c r="N418" s="79"/>
      <c r="O418" s="79"/>
      <c r="P418" s="79"/>
      <c r="Q418" s="74"/>
      <c r="R418" s="74"/>
      <c r="S418" s="74"/>
      <c r="T418" s="74"/>
      <c r="U418" s="74"/>
      <c r="V418" s="74"/>
      <c r="W418" s="74"/>
    </row>
    <row r="419" spans="1:23" x14ac:dyDescent="0.25">
      <c r="A419" s="16" t="s">
        <v>84</v>
      </c>
      <c r="B419" s="62">
        <v>6.7</v>
      </c>
      <c r="C419" s="14" t="s">
        <v>731</v>
      </c>
      <c r="D419" s="49">
        <f t="shared" si="30"/>
        <v>6.7</v>
      </c>
      <c r="E419" s="50">
        <v>8</v>
      </c>
      <c r="F419" s="61" t="s">
        <v>12</v>
      </c>
      <c r="G419" s="61" t="s">
        <v>87</v>
      </c>
      <c r="H419" s="61" t="s">
        <v>13</v>
      </c>
      <c r="I419" s="61" t="s">
        <v>86</v>
      </c>
      <c r="J419" s="13" t="s">
        <v>1162</v>
      </c>
      <c r="K419" s="13" t="s">
        <v>222</v>
      </c>
      <c r="L419" s="13" t="s">
        <v>818</v>
      </c>
      <c r="M419" s="13"/>
      <c r="N419" s="85"/>
      <c r="O419" s="85"/>
      <c r="P419" s="85"/>
      <c r="Q419" s="74"/>
      <c r="R419" s="74"/>
      <c r="S419" s="74"/>
      <c r="T419" s="74"/>
      <c r="U419" s="74"/>
      <c r="V419" s="74"/>
      <c r="W419" s="74"/>
    </row>
    <row r="420" spans="1:23" x14ac:dyDescent="0.25">
      <c r="A420" s="16" t="s">
        <v>84</v>
      </c>
      <c r="B420" s="49">
        <v>36.6</v>
      </c>
      <c r="C420" s="14" t="s">
        <v>731</v>
      </c>
      <c r="D420" s="49">
        <f t="shared" si="30"/>
        <v>36.6</v>
      </c>
      <c r="E420" s="50">
        <v>12</v>
      </c>
      <c r="F420" s="61" t="s">
        <v>12</v>
      </c>
      <c r="G420" s="61" t="s">
        <v>218</v>
      </c>
      <c r="H420" s="61" t="s">
        <v>13</v>
      </c>
      <c r="I420" s="61" t="s">
        <v>30</v>
      </c>
      <c r="J420" s="13" t="s">
        <v>1162</v>
      </c>
      <c r="K420" s="13" t="s">
        <v>222</v>
      </c>
      <c r="L420" s="13" t="s">
        <v>818</v>
      </c>
      <c r="M420" s="13"/>
      <c r="N420" s="79"/>
      <c r="O420" s="79"/>
      <c r="P420" s="79"/>
      <c r="Q420" s="79">
        <v>21.6</v>
      </c>
      <c r="R420" s="74"/>
      <c r="S420" s="74"/>
      <c r="T420" s="74"/>
      <c r="U420" s="74"/>
      <c r="V420" s="74"/>
      <c r="W420" s="74"/>
    </row>
    <row r="421" spans="1:23" x14ac:dyDescent="0.25">
      <c r="A421" s="16" t="s">
        <v>84</v>
      </c>
      <c r="B421" s="49">
        <v>22.1</v>
      </c>
      <c r="C421" s="14" t="s">
        <v>731</v>
      </c>
      <c r="D421" s="49">
        <f t="shared" si="30"/>
        <v>22.1</v>
      </c>
      <c r="E421" s="50">
        <v>6</v>
      </c>
      <c r="F421" s="61" t="s">
        <v>12</v>
      </c>
      <c r="G421" s="61" t="s">
        <v>218</v>
      </c>
      <c r="H421" s="61" t="s">
        <v>13</v>
      </c>
      <c r="I421" s="61" t="s">
        <v>60</v>
      </c>
      <c r="J421" s="13" t="s">
        <v>1162</v>
      </c>
      <c r="K421" s="13" t="s">
        <v>222</v>
      </c>
      <c r="L421" s="13" t="s">
        <v>818</v>
      </c>
      <c r="M421" s="13"/>
      <c r="N421" s="79"/>
      <c r="O421" s="79"/>
      <c r="P421" s="79"/>
      <c r="Q421" s="74"/>
      <c r="R421" s="74"/>
      <c r="S421" s="74"/>
      <c r="T421" s="74"/>
      <c r="U421" s="74"/>
      <c r="V421" s="74"/>
      <c r="W421" s="74"/>
    </row>
    <row r="422" spans="1:23" x14ac:dyDescent="0.25">
      <c r="A422" s="16" t="s">
        <v>84</v>
      </c>
      <c r="B422" s="49">
        <v>41.9</v>
      </c>
      <c r="C422" s="14" t="s">
        <v>731</v>
      </c>
      <c r="D422" s="49">
        <f t="shared" si="30"/>
        <v>41.9</v>
      </c>
      <c r="E422" s="50">
        <v>6</v>
      </c>
      <c r="F422" s="61" t="s">
        <v>12</v>
      </c>
      <c r="G422" s="61" t="s">
        <v>218</v>
      </c>
      <c r="H422" s="61" t="s">
        <v>13</v>
      </c>
      <c r="I422" s="61" t="s">
        <v>60</v>
      </c>
      <c r="J422" s="13" t="s">
        <v>1162</v>
      </c>
      <c r="K422" s="13" t="s">
        <v>222</v>
      </c>
      <c r="L422" s="13" t="s">
        <v>818</v>
      </c>
      <c r="M422" s="13"/>
      <c r="N422" s="79"/>
      <c r="O422" s="79"/>
      <c r="P422" s="79"/>
      <c r="Q422" s="74"/>
      <c r="R422" s="74"/>
      <c r="S422" s="74"/>
      <c r="T422" s="74"/>
      <c r="U422" s="74"/>
      <c r="V422" s="74"/>
      <c r="W422" s="74"/>
    </row>
    <row r="423" spans="1:23" x14ac:dyDescent="0.25">
      <c r="A423" s="16" t="s">
        <v>84</v>
      </c>
      <c r="B423" s="49">
        <v>76.599999999999994</v>
      </c>
      <c r="C423" s="14" t="s">
        <v>731</v>
      </c>
      <c r="D423" s="49">
        <f t="shared" si="30"/>
        <v>76.599999999999994</v>
      </c>
      <c r="E423" s="50">
        <v>2</v>
      </c>
      <c r="F423" s="16" t="s">
        <v>12</v>
      </c>
      <c r="G423" s="16" t="s">
        <v>218</v>
      </c>
      <c r="H423" s="16" t="s">
        <v>13</v>
      </c>
      <c r="I423" s="16" t="s">
        <v>96</v>
      </c>
      <c r="J423" s="13" t="s">
        <v>1162</v>
      </c>
      <c r="K423" s="13" t="s">
        <v>222</v>
      </c>
      <c r="L423" s="13" t="s">
        <v>818</v>
      </c>
      <c r="M423" s="13"/>
      <c r="N423" s="79"/>
      <c r="O423" s="79"/>
      <c r="P423" s="79"/>
      <c r="Q423" s="79">
        <v>20.100000000000001</v>
      </c>
      <c r="R423" s="74"/>
      <c r="S423" s="74"/>
      <c r="T423" s="74"/>
      <c r="U423" s="74"/>
      <c r="V423" s="74"/>
      <c r="W423" s="74"/>
    </row>
    <row r="424" spans="1:23" x14ac:dyDescent="0.25">
      <c r="A424" s="13" t="s">
        <v>84</v>
      </c>
      <c r="B424" s="14">
        <v>57</v>
      </c>
      <c r="C424" s="14" t="s">
        <v>731</v>
      </c>
      <c r="D424" s="49">
        <f t="shared" si="30"/>
        <v>57</v>
      </c>
      <c r="E424" s="15">
        <v>1</v>
      </c>
      <c r="F424" s="13" t="s">
        <v>716</v>
      </c>
      <c r="G424" s="13" t="s">
        <v>731</v>
      </c>
      <c r="H424" s="16" t="s">
        <v>725</v>
      </c>
      <c r="I424" s="13" t="s">
        <v>772</v>
      </c>
      <c r="J424" s="13" t="s">
        <v>771</v>
      </c>
      <c r="K424" s="13" t="s">
        <v>878</v>
      </c>
      <c r="L424" s="13"/>
      <c r="M424" s="13" t="s">
        <v>877</v>
      </c>
      <c r="N424" s="74"/>
      <c r="O424" s="74"/>
      <c r="P424" s="74"/>
      <c r="Q424" s="74"/>
      <c r="R424" s="74"/>
      <c r="S424" s="74"/>
      <c r="T424" s="74"/>
      <c r="U424" s="74"/>
      <c r="V424" s="74"/>
      <c r="W424" s="74"/>
    </row>
    <row r="425" spans="1:23" x14ac:dyDescent="0.25">
      <c r="A425" s="16" t="s">
        <v>84</v>
      </c>
      <c r="B425" s="49">
        <v>32</v>
      </c>
      <c r="C425" s="14" t="s">
        <v>731</v>
      </c>
      <c r="D425" s="49">
        <f t="shared" si="30"/>
        <v>32</v>
      </c>
      <c r="E425" s="50">
        <v>6</v>
      </c>
      <c r="F425" s="61" t="s">
        <v>12</v>
      </c>
      <c r="G425" s="61" t="s">
        <v>218</v>
      </c>
      <c r="H425" s="61" t="s">
        <v>13</v>
      </c>
      <c r="I425" s="61" t="s">
        <v>62</v>
      </c>
      <c r="J425" s="13" t="s">
        <v>1162</v>
      </c>
      <c r="K425" s="13" t="s">
        <v>222</v>
      </c>
      <c r="L425" s="13" t="s">
        <v>818</v>
      </c>
      <c r="M425" s="13"/>
      <c r="N425" s="79"/>
      <c r="O425" s="79"/>
      <c r="P425" s="79"/>
      <c r="Q425" s="79">
        <v>17</v>
      </c>
      <c r="R425" s="74"/>
      <c r="S425" s="74"/>
      <c r="T425" s="74"/>
      <c r="U425" s="74"/>
      <c r="V425" s="74"/>
      <c r="W425" s="74"/>
    </row>
    <row r="426" spans="1:23" x14ac:dyDescent="0.25">
      <c r="A426" s="16" t="s">
        <v>84</v>
      </c>
      <c r="B426" s="49">
        <v>39.4</v>
      </c>
      <c r="C426" s="14" t="s">
        <v>731</v>
      </c>
      <c r="D426" s="49">
        <f t="shared" si="30"/>
        <v>39.4</v>
      </c>
      <c r="E426" s="50">
        <v>43</v>
      </c>
      <c r="F426" s="16" t="s">
        <v>12</v>
      </c>
      <c r="G426" s="16" t="s">
        <v>218</v>
      </c>
      <c r="H426" s="16" t="s">
        <v>13</v>
      </c>
      <c r="I426" s="16" t="s">
        <v>97</v>
      </c>
      <c r="J426" s="13" t="s">
        <v>1162</v>
      </c>
      <c r="K426" s="13" t="s">
        <v>222</v>
      </c>
      <c r="L426" s="13" t="s">
        <v>818</v>
      </c>
      <c r="M426" s="13"/>
      <c r="N426" s="79"/>
      <c r="O426" s="79"/>
      <c r="P426" s="79"/>
      <c r="Q426" s="79">
        <v>17.7</v>
      </c>
      <c r="R426" s="74"/>
      <c r="S426" s="74"/>
      <c r="T426" s="74"/>
      <c r="U426" s="74"/>
      <c r="V426" s="74"/>
      <c r="W426" s="74"/>
    </row>
    <row r="427" spans="1:23" x14ac:dyDescent="0.25">
      <c r="A427" s="16" t="s">
        <v>84</v>
      </c>
      <c r="B427" s="49">
        <v>35.700000000000003</v>
      </c>
      <c r="C427" s="14" t="s">
        <v>731</v>
      </c>
      <c r="D427" s="49">
        <f t="shared" si="30"/>
        <v>35.700000000000003</v>
      </c>
      <c r="E427" s="50">
        <v>33</v>
      </c>
      <c r="F427" s="16" t="s">
        <v>15</v>
      </c>
      <c r="G427" s="16" t="s">
        <v>218</v>
      </c>
      <c r="H427" s="16" t="s">
        <v>13</v>
      </c>
      <c r="I427" s="16" t="s">
        <v>97</v>
      </c>
      <c r="J427" s="13" t="s">
        <v>1162</v>
      </c>
      <c r="K427" s="13" t="s">
        <v>222</v>
      </c>
      <c r="L427" s="13" t="s">
        <v>818</v>
      </c>
      <c r="M427" s="13"/>
      <c r="N427" s="79"/>
      <c r="O427" s="79"/>
      <c r="P427" s="79"/>
      <c r="Q427" s="79">
        <v>24.1</v>
      </c>
      <c r="R427" s="74"/>
      <c r="S427" s="74"/>
      <c r="T427" s="74"/>
      <c r="U427" s="74"/>
      <c r="V427" s="74"/>
      <c r="W427" s="74"/>
    </row>
    <row r="428" spans="1:23" x14ac:dyDescent="0.25">
      <c r="A428" s="16" t="s">
        <v>84</v>
      </c>
      <c r="B428" s="60">
        <v>29.7</v>
      </c>
      <c r="C428" s="14" t="s">
        <v>731</v>
      </c>
      <c r="D428" s="49">
        <f t="shared" si="30"/>
        <v>29.7</v>
      </c>
      <c r="E428" s="50">
        <v>28</v>
      </c>
      <c r="F428" s="16" t="s">
        <v>12</v>
      </c>
      <c r="G428" s="16" t="s">
        <v>218</v>
      </c>
      <c r="H428" s="16" t="s">
        <v>13</v>
      </c>
      <c r="I428" s="16" t="s">
        <v>50</v>
      </c>
      <c r="J428" s="13" t="s">
        <v>1162</v>
      </c>
      <c r="K428" s="13" t="s">
        <v>222</v>
      </c>
      <c r="L428" s="13" t="s">
        <v>818</v>
      </c>
      <c r="M428" s="13"/>
      <c r="N428" s="84"/>
      <c r="O428" s="84"/>
      <c r="P428" s="84"/>
      <c r="Q428" s="74"/>
      <c r="R428" s="74"/>
      <c r="S428" s="74"/>
      <c r="T428" s="74"/>
      <c r="U428" s="74"/>
      <c r="V428" s="74"/>
      <c r="W428" s="74"/>
    </row>
    <row r="429" spans="1:23" x14ac:dyDescent="0.25">
      <c r="A429" s="16" t="s">
        <v>84</v>
      </c>
      <c r="B429" s="60">
        <v>69.3</v>
      </c>
      <c r="C429" s="14" t="s">
        <v>731</v>
      </c>
      <c r="D429" s="49">
        <f t="shared" si="30"/>
        <v>69.3</v>
      </c>
      <c r="E429" s="50">
        <v>28</v>
      </c>
      <c r="F429" s="16" t="s">
        <v>12</v>
      </c>
      <c r="G429" s="16" t="s">
        <v>218</v>
      </c>
      <c r="H429" s="16" t="s">
        <v>13</v>
      </c>
      <c r="I429" s="16" t="s">
        <v>50</v>
      </c>
      <c r="J429" s="13" t="s">
        <v>1162</v>
      </c>
      <c r="K429" s="13" t="s">
        <v>222</v>
      </c>
      <c r="L429" s="13" t="s">
        <v>818</v>
      </c>
      <c r="M429" s="13"/>
      <c r="N429" s="84"/>
      <c r="O429" s="84"/>
      <c r="P429" s="84"/>
      <c r="Q429" s="74"/>
      <c r="R429" s="74"/>
      <c r="S429" s="74"/>
      <c r="T429" s="74"/>
      <c r="U429" s="74"/>
      <c r="V429" s="74"/>
      <c r="W429" s="74"/>
    </row>
    <row r="430" spans="1:23" x14ac:dyDescent="0.25">
      <c r="A430" s="16" t="s">
        <v>84</v>
      </c>
      <c r="B430" s="63">
        <v>62</v>
      </c>
      <c r="C430" s="14" t="s">
        <v>731</v>
      </c>
      <c r="D430" s="49">
        <f t="shared" si="30"/>
        <v>62</v>
      </c>
      <c r="E430" s="50">
        <v>6</v>
      </c>
      <c r="F430" s="61" t="s">
        <v>12</v>
      </c>
      <c r="G430" s="61" t="s">
        <v>220</v>
      </c>
      <c r="H430" s="61" t="s">
        <v>13</v>
      </c>
      <c r="I430" s="61" t="s">
        <v>34</v>
      </c>
      <c r="J430" s="13" t="s">
        <v>1162</v>
      </c>
      <c r="K430" s="13" t="s">
        <v>222</v>
      </c>
      <c r="L430" s="13" t="s">
        <v>818</v>
      </c>
      <c r="M430" s="13"/>
      <c r="N430" s="86"/>
      <c r="O430" s="86"/>
      <c r="P430" s="86"/>
      <c r="Q430" s="74"/>
      <c r="R430" s="74"/>
      <c r="S430" s="74"/>
      <c r="T430" s="74"/>
      <c r="U430" s="74"/>
      <c r="V430" s="74"/>
      <c r="W430" s="74"/>
    </row>
    <row r="431" spans="1:23" x14ac:dyDescent="0.25">
      <c r="A431" s="16" t="s">
        <v>84</v>
      </c>
      <c r="B431" s="14" t="s">
        <v>731</v>
      </c>
      <c r="C431" s="14" t="s">
        <v>731</v>
      </c>
      <c r="D431" s="49" t="s">
        <v>731</v>
      </c>
      <c r="E431" s="50">
        <v>6</v>
      </c>
      <c r="F431" s="61" t="s">
        <v>12</v>
      </c>
      <c r="G431" s="61" t="s">
        <v>220</v>
      </c>
      <c r="H431" s="61" t="s">
        <v>13</v>
      </c>
      <c r="I431" s="61" t="s">
        <v>34</v>
      </c>
      <c r="J431" s="13" t="s">
        <v>1162</v>
      </c>
      <c r="K431" s="13" t="s">
        <v>222</v>
      </c>
      <c r="L431" s="13" t="s">
        <v>818</v>
      </c>
      <c r="M431" s="13"/>
      <c r="N431" s="74"/>
      <c r="O431" s="74"/>
      <c r="P431" s="74"/>
      <c r="Q431" s="79">
        <v>22</v>
      </c>
      <c r="R431" s="74"/>
      <c r="S431" s="74"/>
      <c r="T431" s="74"/>
      <c r="U431" s="74"/>
      <c r="V431" s="74"/>
      <c r="W431" s="74"/>
    </row>
    <row r="432" spans="1:23" x14ac:dyDescent="0.25">
      <c r="A432" s="16" t="s">
        <v>84</v>
      </c>
      <c r="B432" s="49">
        <v>42.8</v>
      </c>
      <c r="C432" s="14" t="s">
        <v>731</v>
      </c>
      <c r="D432" s="49">
        <f t="shared" si="30"/>
        <v>42.8</v>
      </c>
      <c r="E432" s="50">
        <v>5</v>
      </c>
      <c r="F432" s="61" t="s">
        <v>12</v>
      </c>
      <c r="G432" s="61" t="s">
        <v>218</v>
      </c>
      <c r="H432" s="61" t="s">
        <v>13</v>
      </c>
      <c r="I432" s="61" t="s">
        <v>91</v>
      </c>
      <c r="J432" s="13" t="s">
        <v>1162</v>
      </c>
      <c r="K432" s="13" t="s">
        <v>222</v>
      </c>
      <c r="L432" s="13" t="s">
        <v>818</v>
      </c>
      <c r="M432" s="13"/>
      <c r="N432" s="79"/>
      <c r="O432" s="79"/>
      <c r="P432" s="79"/>
      <c r="Q432" s="79">
        <v>34.4</v>
      </c>
      <c r="R432" s="74"/>
      <c r="S432" s="74"/>
      <c r="T432" s="74"/>
      <c r="U432" s="74"/>
      <c r="V432" s="74"/>
      <c r="W432" s="74"/>
    </row>
    <row r="433" spans="1:23" x14ac:dyDescent="0.25">
      <c r="A433" s="16" t="s">
        <v>84</v>
      </c>
      <c r="B433" s="49">
        <v>36</v>
      </c>
      <c r="C433" s="14" t="s">
        <v>731</v>
      </c>
      <c r="D433" s="49">
        <f t="shared" si="30"/>
        <v>36</v>
      </c>
      <c r="E433" s="50">
        <v>6</v>
      </c>
      <c r="F433" s="61" t="s">
        <v>15</v>
      </c>
      <c r="G433" s="61" t="s">
        <v>218</v>
      </c>
      <c r="H433" s="61" t="s">
        <v>13</v>
      </c>
      <c r="I433" s="61" t="s">
        <v>91</v>
      </c>
      <c r="J433" s="13" t="s">
        <v>1162</v>
      </c>
      <c r="K433" s="13" t="s">
        <v>222</v>
      </c>
      <c r="L433" s="13" t="s">
        <v>818</v>
      </c>
      <c r="M433" s="13"/>
      <c r="N433" s="79"/>
      <c r="O433" s="79"/>
      <c r="P433" s="79"/>
      <c r="Q433" s="79">
        <v>18.399999999999999</v>
      </c>
      <c r="R433" s="74"/>
      <c r="S433" s="74"/>
      <c r="T433" s="74"/>
      <c r="U433" s="74"/>
      <c r="V433" s="74"/>
      <c r="W433" s="74"/>
    </row>
    <row r="434" spans="1:23" x14ac:dyDescent="0.25">
      <c r="A434" s="13" t="s">
        <v>84</v>
      </c>
      <c r="B434" s="14">
        <v>25</v>
      </c>
      <c r="C434" s="14" t="s">
        <v>731</v>
      </c>
      <c r="D434" s="49">
        <f t="shared" si="30"/>
        <v>25</v>
      </c>
      <c r="E434" s="15">
        <v>1</v>
      </c>
      <c r="F434" s="13" t="s">
        <v>716</v>
      </c>
      <c r="G434" s="13" t="s">
        <v>731</v>
      </c>
      <c r="H434" s="16" t="s">
        <v>725</v>
      </c>
      <c r="I434" s="13" t="s">
        <v>741</v>
      </c>
      <c r="J434" s="13" t="s">
        <v>740</v>
      </c>
      <c r="K434" s="13" t="s">
        <v>888</v>
      </c>
      <c r="L434" s="13"/>
      <c r="M434" s="13" t="s">
        <v>883</v>
      </c>
      <c r="N434" s="74"/>
      <c r="O434" s="74"/>
      <c r="P434" s="74"/>
      <c r="Q434" s="74"/>
      <c r="R434" s="74"/>
      <c r="S434" s="74"/>
      <c r="T434" s="74"/>
      <c r="U434" s="74"/>
      <c r="V434" s="74"/>
      <c r="W434" s="74"/>
    </row>
    <row r="435" spans="1:23" x14ac:dyDescent="0.25">
      <c r="A435" s="16" t="s">
        <v>84</v>
      </c>
      <c r="B435" s="49">
        <v>61.1</v>
      </c>
      <c r="C435" s="14" t="s">
        <v>731</v>
      </c>
      <c r="D435" s="49">
        <f t="shared" si="30"/>
        <v>61.1</v>
      </c>
      <c r="E435" s="50">
        <v>6</v>
      </c>
      <c r="F435" s="61" t="s">
        <v>15</v>
      </c>
      <c r="G435" s="61" t="s">
        <v>218</v>
      </c>
      <c r="H435" s="61" t="s">
        <v>13</v>
      </c>
      <c r="I435" s="61" t="s">
        <v>38</v>
      </c>
      <c r="J435" s="13" t="s">
        <v>1162</v>
      </c>
      <c r="K435" s="13" t="s">
        <v>222</v>
      </c>
      <c r="L435" s="13" t="s">
        <v>818</v>
      </c>
      <c r="M435" s="13"/>
      <c r="N435" s="79"/>
      <c r="O435" s="79"/>
      <c r="P435" s="79"/>
      <c r="Q435" s="74"/>
      <c r="R435" s="74"/>
      <c r="S435" s="74"/>
      <c r="T435" s="74"/>
      <c r="U435" s="74"/>
      <c r="V435" s="74"/>
      <c r="W435" s="74"/>
    </row>
    <row r="436" spans="1:23" x14ac:dyDescent="0.25">
      <c r="A436" s="16" t="s">
        <v>84</v>
      </c>
      <c r="B436" s="49">
        <v>40.299999999999997</v>
      </c>
      <c r="C436" s="14" t="s">
        <v>731</v>
      </c>
      <c r="D436" s="49">
        <f t="shared" si="30"/>
        <v>40.299999999999997</v>
      </c>
      <c r="E436" s="50">
        <v>7</v>
      </c>
      <c r="F436" s="16" t="s">
        <v>12</v>
      </c>
      <c r="G436" s="16" t="s">
        <v>218</v>
      </c>
      <c r="H436" s="16" t="s">
        <v>13</v>
      </c>
      <c r="I436" s="16" t="s">
        <v>95</v>
      </c>
      <c r="J436" s="13" t="s">
        <v>1162</v>
      </c>
      <c r="K436" s="13" t="s">
        <v>222</v>
      </c>
      <c r="L436" s="13" t="s">
        <v>818</v>
      </c>
      <c r="M436" s="13"/>
      <c r="N436" s="79"/>
      <c r="O436" s="79"/>
      <c r="P436" s="79"/>
      <c r="Q436" s="74"/>
      <c r="R436" s="74"/>
      <c r="S436" s="74"/>
      <c r="T436" s="74"/>
      <c r="U436" s="74"/>
      <c r="V436" s="74"/>
      <c r="W436" s="74"/>
    </row>
    <row r="437" spans="1:23" x14ac:dyDescent="0.25">
      <c r="A437" s="16" t="s">
        <v>84</v>
      </c>
      <c r="B437" s="60">
        <v>36.4</v>
      </c>
      <c r="C437" s="14" t="s">
        <v>731</v>
      </c>
      <c r="D437" s="49">
        <f t="shared" si="30"/>
        <v>36.4</v>
      </c>
      <c r="E437" s="50">
        <v>8</v>
      </c>
      <c r="F437" s="16" t="s">
        <v>12</v>
      </c>
      <c r="G437" s="16" t="s">
        <v>218</v>
      </c>
      <c r="H437" s="16" t="s">
        <v>13</v>
      </c>
      <c r="I437" s="16" t="s">
        <v>94</v>
      </c>
      <c r="J437" s="13" t="s">
        <v>1162</v>
      </c>
      <c r="K437" s="13" t="s">
        <v>222</v>
      </c>
      <c r="L437" s="13" t="s">
        <v>818</v>
      </c>
      <c r="M437" s="13"/>
      <c r="N437" s="84"/>
      <c r="O437" s="84"/>
      <c r="P437" s="84"/>
      <c r="Q437" s="79">
        <v>15.8</v>
      </c>
      <c r="R437" s="74"/>
      <c r="S437" s="74"/>
      <c r="T437" s="74"/>
      <c r="U437" s="74"/>
      <c r="V437" s="74"/>
      <c r="W437" s="74"/>
    </row>
    <row r="438" spans="1:23" x14ac:dyDescent="0.25">
      <c r="A438" s="16" t="s">
        <v>84</v>
      </c>
      <c r="B438" s="60">
        <v>66.2</v>
      </c>
      <c r="C438" s="14" t="s">
        <v>731</v>
      </c>
      <c r="D438" s="49">
        <f t="shared" si="30"/>
        <v>66.2</v>
      </c>
      <c r="E438" s="50">
        <v>8</v>
      </c>
      <c r="F438" s="16" t="s">
        <v>12</v>
      </c>
      <c r="G438" s="16" t="s">
        <v>218</v>
      </c>
      <c r="H438" s="16" t="s">
        <v>13</v>
      </c>
      <c r="I438" s="16" t="s">
        <v>94</v>
      </c>
      <c r="J438" s="13" t="s">
        <v>1162</v>
      </c>
      <c r="K438" s="13" t="s">
        <v>222</v>
      </c>
      <c r="L438" s="13" t="s">
        <v>818</v>
      </c>
      <c r="M438" s="13"/>
      <c r="N438" s="84"/>
      <c r="O438" s="84"/>
      <c r="P438" s="84"/>
      <c r="Q438" s="79">
        <v>37.200000000000003</v>
      </c>
      <c r="R438" s="74"/>
      <c r="S438" s="74"/>
      <c r="T438" s="74"/>
      <c r="U438" s="74"/>
      <c r="V438" s="74"/>
      <c r="W438" s="74"/>
    </row>
    <row r="439" spans="1:23" x14ac:dyDescent="0.25">
      <c r="A439" s="16" t="s">
        <v>84</v>
      </c>
      <c r="B439" s="49">
        <v>50.9</v>
      </c>
      <c r="C439" s="14" t="s">
        <v>731</v>
      </c>
      <c r="D439" s="49">
        <f t="shared" si="30"/>
        <v>50.9</v>
      </c>
      <c r="E439" s="50">
        <v>2</v>
      </c>
      <c r="F439" s="16" t="s">
        <v>15</v>
      </c>
      <c r="G439" s="16" t="s">
        <v>218</v>
      </c>
      <c r="H439" s="16" t="s">
        <v>13</v>
      </c>
      <c r="I439" s="16" t="s">
        <v>100</v>
      </c>
      <c r="J439" s="13" t="s">
        <v>1162</v>
      </c>
      <c r="K439" s="13" t="s">
        <v>222</v>
      </c>
      <c r="L439" s="13" t="s">
        <v>818</v>
      </c>
      <c r="M439" s="13"/>
      <c r="N439" s="79"/>
      <c r="O439" s="79"/>
      <c r="P439" s="79"/>
      <c r="Q439" s="79">
        <v>28.5</v>
      </c>
      <c r="R439" s="74"/>
      <c r="S439" s="74"/>
      <c r="T439" s="74"/>
      <c r="U439" s="74"/>
      <c r="V439" s="74"/>
      <c r="W439" s="74"/>
    </row>
    <row r="440" spans="1:23" x14ac:dyDescent="0.25">
      <c r="A440" s="16" t="s">
        <v>84</v>
      </c>
      <c r="B440" s="49">
        <v>46.7</v>
      </c>
      <c r="C440" s="14" t="s">
        <v>731</v>
      </c>
      <c r="D440" s="49">
        <f t="shared" si="30"/>
        <v>46.7</v>
      </c>
      <c r="E440" s="61">
        <v>4</v>
      </c>
      <c r="F440" s="16" t="s">
        <v>101</v>
      </c>
      <c r="G440" s="16" t="s">
        <v>219</v>
      </c>
      <c r="H440" s="16" t="s">
        <v>54</v>
      </c>
      <c r="I440" s="16" t="s">
        <v>100</v>
      </c>
      <c r="J440" s="13" t="s">
        <v>1162</v>
      </c>
      <c r="K440" s="13" t="s">
        <v>222</v>
      </c>
      <c r="L440" s="13" t="s">
        <v>818</v>
      </c>
      <c r="M440" s="13"/>
      <c r="N440" s="79"/>
      <c r="O440" s="79"/>
      <c r="P440" s="79"/>
      <c r="Q440" s="79">
        <v>29.4</v>
      </c>
      <c r="R440" s="74"/>
      <c r="S440" s="74"/>
      <c r="T440" s="74"/>
      <c r="U440" s="74"/>
      <c r="V440" s="74"/>
      <c r="W440" s="74"/>
    </row>
    <row r="441" spans="1:23" x14ac:dyDescent="0.25">
      <c r="A441" s="16" t="s">
        <v>84</v>
      </c>
      <c r="B441" s="49">
        <v>26</v>
      </c>
      <c r="C441" s="14" t="s">
        <v>731</v>
      </c>
      <c r="D441" s="49">
        <f t="shared" si="30"/>
        <v>26</v>
      </c>
      <c r="E441" s="50">
        <v>6</v>
      </c>
      <c r="F441" s="61" t="s">
        <v>15</v>
      </c>
      <c r="G441" s="61" t="s">
        <v>218</v>
      </c>
      <c r="H441" s="61" t="s">
        <v>13</v>
      </c>
      <c r="I441" s="61" t="s">
        <v>92</v>
      </c>
      <c r="J441" s="13" t="s">
        <v>1162</v>
      </c>
      <c r="K441" s="13" t="s">
        <v>222</v>
      </c>
      <c r="L441" s="13" t="s">
        <v>818</v>
      </c>
      <c r="M441" s="13"/>
      <c r="N441" s="79"/>
      <c r="O441" s="79"/>
      <c r="P441" s="79"/>
      <c r="Q441" s="74"/>
      <c r="R441" s="74"/>
      <c r="S441" s="74"/>
      <c r="T441" s="74"/>
      <c r="U441" s="74"/>
      <c r="V441" s="74"/>
      <c r="W441" s="74"/>
    </row>
    <row r="442" spans="1:23" x14ac:dyDescent="0.25">
      <c r="A442" s="16" t="s">
        <v>84</v>
      </c>
      <c r="B442" s="49">
        <v>37</v>
      </c>
      <c r="C442" s="14" t="s">
        <v>731</v>
      </c>
      <c r="D442" s="49">
        <f t="shared" si="30"/>
        <v>37</v>
      </c>
      <c r="E442" s="50">
        <v>12</v>
      </c>
      <c r="F442" s="16" t="s">
        <v>15</v>
      </c>
      <c r="G442" s="16" t="s">
        <v>218</v>
      </c>
      <c r="H442" s="16" t="s">
        <v>13</v>
      </c>
      <c r="I442" s="16" t="s">
        <v>99</v>
      </c>
      <c r="J442" s="13" t="s">
        <v>1162</v>
      </c>
      <c r="K442" s="13" t="s">
        <v>222</v>
      </c>
      <c r="L442" s="13" t="s">
        <v>818</v>
      </c>
      <c r="M442" s="13"/>
      <c r="N442" s="79"/>
      <c r="O442" s="79"/>
      <c r="P442" s="79"/>
      <c r="Q442" s="79">
        <v>31</v>
      </c>
      <c r="R442" s="74"/>
      <c r="S442" s="74"/>
      <c r="T442" s="74"/>
      <c r="U442" s="74"/>
      <c r="V442" s="74"/>
      <c r="W442" s="74"/>
    </row>
    <row r="443" spans="1:23" x14ac:dyDescent="0.25">
      <c r="A443" s="16" t="s">
        <v>84</v>
      </c>
      <c r="B443" s="14" t="s">
        <v>731</v>
      </c>
      <c r="C443" s="14" t="s">
        <v>731</v>
      </c>
      <c r="D443" s="49" t="s">
        <v>731</v>
      </c>
      <c r="E443" s="50">
        <v>5</v>
      </c>
      <c r="F443" s="16" t="s">
        <v>15</v>
      </c>
      <c r="G443" s="16" t="s">
        <v>218</v>
      </c>
      <c r="H443" s="16" t="s">
        <v>13</v>
      </c>
      <c r="I443" s="16" t="s">
        <v>99</v>
      </c>
      <c r="J443" s="13" t="s">
        <v>1162</v>
      </c>
      <c r="K443" s="13" t="s">
        <v>222</v>
      </c>
      <c r="L443" s="13" t="s">
        <v>818</v>
      </c>
      <c r="M443" s="13"/>
      <c r="N443" s="74"/>
      <c r="O443" s="74"/>
      <c r="P443" s="74"/>
      <c r="Q443" s="79">
        <v>32</v>
      </c>
      <c r="R443" s="74"/>
      <c r="S443" s="74"/>
      <c r="T443" s="74"/>
      <c r="U443" s="74"/>
      <c r="V443" s="74"/>
      <c r="W443" s="74"/>
    </row>
    <row r="444" spans="1:23" x14ac:dyDescent="0.25">
      <c r="A444" s="16" t="s">
        <v>84</v>
      </c>
      <c r="B444" s="49">
        <v>59</v>
      </c>
      <c r="C444" s="14" t="s">
        <v>731</v>
      </c>
      <c r="D444" s="49">
        <f t="shared" si="30"/>
        <v>59</v>
      </c>
      <c r="E444" s="50">
        <v>2</v>
      </c>
      <c r="F444" s="61" t="s">
        <v>12</v>
      </c>
      <c r="G444" s="61" t="s">
        <v>218</v>
      </c>
      <c r="H444" s="61" t="s">
        <v>13</v>
      </c>
      <c r="I444" s="61" t="s">
        <v>93</v>
      </c>
      <c r="J444" s="13" t="s">
        <v>1162</v>
      </c>
      <c r="K444" s="13" t="s">
        <v>222</v>
      </c>
      <c r="L444" s="13" t="s">
        <v>818</v>
      </c>
      <c r="M444" s="13"/>
      <c r="N444" s="79"/>
      <c r="O444" s="79"/>
      <c r="P444" s="79"/>
      <c r="Q444" s="74"/>
      <c r="R444" s="74"/>
      <c r="S444" s="74"/>
      <c r="T444" s="74"/>
      <c r="U444" s="74"/>
      <c r="V444" s="74"/>
      <c r="W444" s="74"/>
    </row>
    <row r="445" spans="1:23" x14ac:dyDescent="0.25">
      <c r="A445" s="16" t="s">
        <v>84</v>
      </c>
      <c r="B445" s="49">
        <v>54</v>
      </c>
      <c r="C445" s="14" t="s">
        <v>731</v>
      </c>
      <c r="D445" s="49">
        <f t="shared" si="30"/>
        <v>54</v>
      </c>
      <c r="E445" s="15">
        <v>1</v>
      </c>
      <c r="F445" s="61" t="s">
        <v>12</v>
      </c>
      <c r="G445" s="61" t="s">
        <v>220</v>
      </c>
      <c r="H445" s="61" t="s">
        <v>13</v>
      </c>
      <c r="I445" s="61" t="s">
        <v>93</v>
      </c>
      <c r="J445" s="13" t="s">
        <v>1162</v>
      </c>
      <c r="K445" s="13" t="s">
        <v>222</v>
      </c>
      <c r="L445" s="13" t="s">
        <v>818</v>
      </c>
      <c r="M445" s="13"/>
      <c r="N445" s="79"/>
      <c r="O445" s="79"/>
      <c r="P445" s="79"/>
      <c r="Q445" s="74"/>
      <c r="R445" s="74"/>
      <c r="S445" s="74"/>
      <c r="T445" s="74"/>
      <c r="U445" s="74"/>
      <c r="V445" s="74"/>
      <c r="W445" s="74"/>
    </row>
    <row r="446" spans="1:23" x14ac:dyDescent="0.25">
      <c r="A446" s="16" t="s">
        <v>84</v>
      </c>
      <c r="B446" s="14" t="s">
        <v>731</v>
      </c>
      <c r="C446" s="14" t="s">
        <v>731</v>
      </c>
      <c r="D446" s="49" t="s">
        <v>731</v>
      </c>
      <c r="E446" s="50">
        <v>2</v>
      </c>
      <c r="F446" s="16" t="s">
        <v>15</v>
      </c>
      <c r="G446" s="16" t="s">
        <v>218</v>
      </c>
      <c r="H446" s="16" t="s">
        <v>13</v>
      </c>
      <c r="I446" s="16" t="s">
        <v>98</v>
      </c>
      <c r="J446" s="13" t="s">
        <v>1162</v>
      </c>
      <c r="K446" s="13" t="s">
        <v>222</v>
      </c>
      <c r="L446" s="13" t="s">
        <v>818</v>
      </c>
      <c r="M446" s="13"/>
      <c r="N446" s="74"/>
      <c r="O446" s="74"/>
      <c r="P446" s="74"/>
      <c r="Q446" s="79">
        <v>26.6</v>
      </c>
      <c r="R446" s="74"/>
      <c r="S446" s="74"/>
      <c r="T446" s="74"/>
      <c r="U446" s="74"/>
      <c r="V446" s="74"/>
      <c r="W446" s="74"/>
    </row>
    <row r="447" spans="1:23" x14ac:dyDescent="0.25">
      <c r="A447" s="16" t="s">
        <v>84</v>
      </c>
      <c r="B447" s="14" t="s">
        <v>731</v>
      </c>
      <c r="C447" s="14" t="s">
        <v>731</v>
      </c>
      <c r="D447" s="49" t="s">
        <v>731</v>
      </c>
      <c r="E447" s="50">
        <v>1</v>
      </c>
      <c r="F447" s="16" t="s">
        <v>15</v>
      </c>
      <c r="G447" s="16" t="s">
        <v>220</v>
      </c>
      <c r="H447" s="16" t="s">
        <v>13</v>
      </c>
      <c r="I447" s="16" t="s">
        <v>98</v>
      </c>
      <c r="J447" s="13" t="s">
        <v>1162</v>
      </c>
      <c r="K447" s="13" t="s">
        <v>222</v>
      </c>
      <c r="L447" s="13" t="s">
        <v>818</v>
      </c>
      <c r="M447" s="13"/>
      <c r="N447" s="74"/>
      <c r="O447" s="74"/>
      <c r="P447" s="74"/>
      <c r="Q447" s="79">
        <v>40.9</v>
      </c>
      <c r="R447" s="74"/>
      <c r="S447" s="74"/>
      <c r="T447" s="74"/>
      <c r="U447" s="74"/>
      <c r="V447" s="74"/>
      <c r="W447" s="74"/>
    </row>
    <row r="448" spans="1:23" x14ac:dyDescent="0.25">
      <c r="A448" s="16" t="s">
        <v>84</v>
      </c>
      <c r="B448" s="14" t="s">
        <v>731</v>
      </c>
      <c r="C448" s="14" t="s">
        <v>731</v>
      </c>
      <c r="D448" s="49" t="s">
        <v>731</v>
      </c>
      <c r="E448" s="50">
        <v>5</v>
      </c>
      <c r="F448" s="16" t="s">
        <v>15</v>
      </c>
      <c r="G448" s="16" t="s">
        <v>218</v>
      </c>
      <c r="H448" s="16" t="s">
        <v>13</v>
      </c>
      <c r="I448" s="16" t="s">
        <v>98</v>
      </c>
      <c r="J448" s="13" t="s">
        <v>1162</v>
      </c>
      <c r="K448" s="13" t="s">
        <v>222</v>
      </c>
      <c r="L448" s="13" t="s">
        <v>818</v>
      </c>
      <c r="M448" s="13"/>
      <c r="N448" s="74"/>
      <c r="O448" s="74"/>
      <c r="P448" s="74"/>
      <c r="Q448" s="79">
        <v>14.7</v>
      </c>
      <c r="R448" s="74"/>
      <c r="S448" s="74"/>
      <c r="T448" s="74"/>
      <c r="U448" s="74"/>
      <c r="V448" s="74"/>
      <c r="W448" s="74"/>
    </row>
    <row r="449" spans="1:23" x14ac:dyDescent="0.25">
      <c r="A449" s="16" t="s">
        <v>84</v>
      </c>
      <c r="B449" s="49">
        <v>54.4</v>
      </c>
      <c r="C449" s="14" t="s">
        <v>731</v>
      </c>
      <c r="D449" s="49">
        <f t="shared" si="30"/>
        <v>54.4</v>
      </c>
      <c r="E449" s="50">
        <v>57</v>
      </c>
      <c r="F449" s="61" t="s">
        <v>15</v>
      </c>
      <c r="G449" s="61" t="s">
        <v>218</v>
      </c>
      <c r="H449" s="61" t="s">
        <v>13</v>
      </c>
      <c r="I449" s="61" t="s">
        <v>90</v>
      </c>
      <c r="J449" s="13" t="s">
        <v>1162</v>
      </c>
      <c r="K449" s="13" t="s">
        <v>222</v>
      </c>
      <c r="L449" s="13" t="s">
        <v>818</v>
      </c>
      <c r="M449" s="13"/>
      <c r="N449" s="79"/>
      <c r="O449" s="79"/>
      <c r="P449" s="79"/>
      <c r="Q449" s="74"/>
      <c r="R449" s="74"/>
      <c r="S449" s="74"/>
      <c r="T449" s="74"/>
      <c r="U449" s="74"/>
      <c r="V449" s="74"/>
      <c r="W449" s="74"/>
    </row>
    <row r="450" spans="1:23" x14ac:dyDescent="0.25">
      <c r="A450" s="16" t="s">
        <v>84</v>
      </c>
      <c r="B450" s="49">
        <v>47.4</v>
      </c>
      <c r="C450" s="14" t="s">
        <v>731</v>
      </c>
      <c r="D450" s="49">
        <f t="shared" si="30"/>
        <v>47.4</v>
      </c>
      <c r="E450" s="50">
        <v>12</v>
      </c>
      <c r="F450" s="61" t="s">
        <v>12</v>
      </c>
      <c r="G450" s="61" t="s">
        <v>218</v>
      </c>
      <c r="H450" s="61" t="s">
        <v>13</v>
      </c>
      <c r="I450" s="61" t="s">
        <v>85</v>
      </c>
      <c r="J450" s="13" t="s">
        <v>1162</v>
      </c>
      <c r="K450" s="13" t="s">
        <v>222</v>
      </c>
      <c r="L450" s="13" t="s">
        <v>818</v>
      </c>
      <c r="M450" s="13"/>
      <c r="N450" s="79"/>
      <c r="O450" s="79"/>
      <c r="P450" s="79"/>
      <c r="Q450" s="74"/>
      <c r="R450" s="74"/>
      <c r="S450" s="74"/>
      <c r="T450" s="74"/>
      <c r="U450" s="74"/>
      <c r="V450" s="74"/>
      <c r="W450" s="74"/>
    </row>
    <row r="451" spans="1:23" x14ac:dyDescent="0.25">
      <c r="A451" s="13" t="s">
        <v>84</v>
      </c>
      <c r="B451" s="14">
        <v>44</v>
      </c>
      <c r="C451" s="14" t="s">
        <v>731</v>
      </c>
      <c r="D451" s="49">
        <f t="shared" si="30"/>
        <v>44</v>
      </c>
      <c r="E451" s="15">
        <v>1</v>
      </c>
      <c r="F451" s="13" t="s">
        <v>716</v>
      </c>
      <c r="G451" s="13" t="s">
        <v>731</v>
      </c>
      <c r="H451" s="16" t="s">
        <v>13</v>
      </c>
      <c r="I451" s="13" t="s">
        <v>832</v>
      </c>
      <c r="J451" s="13" t="s">
        <v>831</v>
      </c>
      <c r="K451" s="13"/>
      <c r="L451" s="13"/>
      <c r="M451" s="13" t="s">
        <v>903</v>
      </c>
      <c r="N451" s="74"/>
      <c r="O451" s="74"/>
      <c r="P451" s="74"/>
      <c r="Q451" s="74"/>
      <c r="R451" s="74"/>
      <c r="S451" s="74"/>
      <c r="T451" s="74"/>
      <c r="U451" s="74"/>
      <c r="V451" s="74"/>
      <c r="W451" s="74"/>
    </row>
    <row r="452" spans="1:23" x14ac:dyDescent="0.25">
      <c r="A452" s="16" t="s">
        <v>84</v>
      </c>
      <c r="B452" s="49">
        <v>44</v>
      </c>
      <c r="C452" s="14" t="s">
        <v>731</v>
      </c>
      <c r="D452" s="49">
        <f t="shared" si="30"/>
        <v>44</v>
      </c>
      <c r="E452" s="50">
        <v>10</v>
      </c>
      <c r="F452" s="61" t="s">
        <v>12</v>
      </c>
      <c r="G452" s="61" t="s">
        <v>218</v>
      </c>
      <c r="H452" s="61" t="s">
        <v>13</v>
      </c>
      <c r="I452" s="61" t="s">
        <v>61</v>
      </c>
      <c r="J452" s="13" t="s">
        <v>1162</v>
      </c>
      <c r="K452" s="13" t="s">
        <v>222</v>
      </c>
      <c r="L452" s="13" t="s">
        <v>818</v>
      </c>
      <c r="M452" s="13"/>
      <c r="N452" s="79"/>
      <c r="O452" s="79"/>
      <c r="P452" s="79"/>
      <c r="Q452" s="74"/>
      <c r="R452" s="74"/>
      <c r="S452" s="74"/>
      <c r="T452" s="74"/>
      <c r="U452" s="74"/>
      <c r="V452" s="74"/>
      <c r="W452" s="74"/>
    </row>
    <row r="453" spans="1:23" x14ac:dyDescent="0.25">
      <c r="A453" s="16" t="s">
        <v>84</v>
      </c>
      <c r="B453" s="49">
        <v>43</v>
      </c>
      <c r="C453" s="14" t="s">
        <v>731</v>
      </c>
      <c r="D453" s="49">
        <f t="shared" si="30"/>
        <v>43</v>
      </c>
      <c r="E453" s="50">
        <v>7</v>
      </c>
      <c r="F453" s="61" t="s">
        <v>12</v>
      </c>
      <c r="G453" s="61" t="s">
        <v>218</v>
      </c>
      <c r="H453" s="61" t="s">
        <v>13</v>
      </c>
      <c r="I453" s="61" t="s">
        <v>89</v>
      </c>
      <c r="J453" s="13" t="s">
        <v>1162</v>
      </c>
      <c r="K453" s="13" t="s">
        <v>222</v>
      </c>
      <c r="L453" s="13" t="s">
        <v>818</v>
      </c>
      <c r="M453" s="13"/>
      <c r="N453" s="79"/>
      <c r="O453" s="79"/>
      <c r="P453" s="79"/>
      <c r="Q453" s="79">
        <v>25.1</v>
      </c>
      <c r="R453" s="74"/>
      <c r="S453" s="74"/>
      <c r="T453" s="74"/>
      <c r="U453" s="74"/>
      <c r="V453" s="74"/>
      <c r="W453" s="74"/>
    </row>
    <row r="454" spans="1:23" x14ac:dyDescent="0.25">
      <c r="A454" s="16" t="s">
        <v>84</v>
      </c>
      <c r="B454" s="49">
        <v>42.9</v>
      </c>
      <c r="C454" s="14" t="s">
        <v>731</v>
      </c>
      <c r="D454" s="49">
        <f t="shared" si="30"/>
        <v>42.9</v>
      </c>
      <c r="E454" s="15">
        <v>1</v>
      </c>
      <c r="F454" s="61" t="s">
        <v>12</v>
      </c>
      <c r="G454" s="61" t="s">
        <v>218</v>
      </c>
      <c r="H454" s="61" t="s">
        <v>13</v>
      </c>
      <c r="I454" s="61" t="s">
        <v>88</v>
      </c>
      <c r="J454" s="13" t="s">
        <v>1162</v>
      </c>
      <c r="K454" s="13" t="s">
        <v>222</v>
      </c>
      <c r="L454" s="13" t="s">
        <v>818</v>
      </c>
      <c r="M454" s="13"/>
      <c r="N454" s="79"/>
      <c r="O454" s="79"/>
      <c r="P454" s="79"/>
      <c r="Q454" s="79">
        <v>29.2</v>
      </c>
      <c r="R454" s="74"/>
      <c r="S454" s="74"/>
      <c r="T454" s="74"/>
      <c r="U454" s="74"/>
      <c r="V454" s="74"/>
      <c r="W454" s="74"/>
    </row>
    <row r="455" spans="1:23" x14ac:dyDescent="0.25">
      <c r="A455" s="16" t="s">
        <v>84</v>
      </c>
      <c r="B455" s="49">
        <v>47</v>
      </c>
      <c r="C455" s="14" t="s">
        <v>731</v>
      </c>
      <c r="D455" s="49">
        <f t="shared" si="30"/>
        <v>47</v>
      </c>
      <c r="E455" s="50">
        <v>8</v>
      </c>
      <c r="F455" s="61" t="s">
        <v>12</v>
      </c>
      <c r="G455" s="61" t="s">
        <v>218</v>
      </c>
      <c r="H455" s="61" t="s">
        <v>13</v>
      </c>
      <c r="I455" s="61" t="s">
        <v>88</v>
      </c>
      <c r="J455" s="13" t="s">
        <v>1162</v>
      </c>
      <c r="K455" s="13" t="s">
        <v>222</v>
      </c>
      <c r="L455" s="13" t="s">
        <v>818</v>
      </c>
      <c r="M455" s="13"/>
      <c r="N455" s="79"/>
      <c r="O455" s="79"/>
      <c r="P455" s="79"/>
      <c r="Q455" s="79">
        <v>31.9</v>
      </c>
      <c r="R455" s="74"/>
      <c r="S455" s="74"/>
      <c r="T455" s="74"/>
      <c r="U455" s="74"/>
      <c r="V455" s="74"/>
      <c r="W455" s="74"/>
    </row>
    <row r="456" spans="1:23" x14ac:dyDescent="0.25">
      <c r="A456" s="16" t="s">
        <v>84</v>
      </c>
      <c r="B456" s="60">
        <v>45</v>
      </c>
      <c r="C456" s="14" t="s">
        <v>731</v>
      </c>
      <c r="D456" s="49">
        <f t="shared" si="30"/>
        <v>45</v>
      </c>
      <c r="E456" s="50">
        <v>1</v>
      </c>
      <c r="F456" s="61" t="s">
        <v>12</v>
      </c>
      <c r="G456" s="61" t="s">
        <v>218</v>
      </c>
      <c r="H456" s="61" t="s">
        <v>13</v>
      </c>
      <c r="I456" s="61" t="s">
        <v>19</v>
      </c>
      <c r="J456" s="13" t="s">
        <v>1162</v>
      </c>
      <c r="K456" s="13" t="s">
        <v>222</v>
      </c>
      <c r="L456" s="13" t="s">
        <v>818</v>
      </c>
      <c r="M456" s="13"/>
      <c r="N456" s="84"/>
      <c r="O456" s="84"/>
      <c r="P456" s="84"/>
      <c r="Q456" s="79">
        <v>35</v>
      </c>
      <c r="R456" s="74"/>
      <c r="S456" s="74"/>
      <c r="T456" s="74"/>
      <c r="U456" s="74"/>
      <c r="V456" s="74"/>
      <c r="W456" s="74"/>
    </row>
    <row r="457" spans="1:23" x14ac:dyDescent="0.25">
      <c r="A457" s="23" t="s">
        <v>10</v>
      </c>
      <c r="B457" s="33">
        <f>(10+30)/2</f>
        <v>20</v>
      </c>
      <c r="C457" s="22">
        <v>5</v>
      </c>
      <c r="D457" s="33">
        <f>SUM(B457:C457)</f>
        <v>25</v>
      </c>
      <c r="E457" s="25">
        <v>1</v>
      </c>
      <c r="F457" s="21" t="s">
        <v>716</v>
      </c>
      <c r="G457" s="21" t="s">
        <v>731</v>
      </c>
      <c r="H457" s="23" t="s">
        <v>725</v>
      </c>
      <c r="I457" s="21" t="s">
        <v>812</v>
      </c>
      <c r="J457" s="65" t="s">
        <v>731</v>
      </c>
      <c r="K457" s="21">
        <v>246</v>
      </c>
      <c r="L457" s="21"/>
      <c r="M457" s="21" t="s">
        <v>920</v>
      </c>
      <c r="N457" s="98"/>
      <c r="O457" s="98"/>
      <c r="P457" s="98"/>
      <c r="Q457" s="98"/>
      <c r="R457" s="87"/>
      <c r="S457" s="87"/>
      <c r="T457" s="87"/>
      <c r="U457" s="87"/>
      <c r="V457" s="87"/>
      <c r="W457" s="87"/>
    </row>
    <row r="458" spans="1:23" x14ac:dyDescent="0.25">
      <c r="A458" s="23" t="s">
        <v>10</v>
      </c>
      <c r="B458" s="32">
        <v>11.5</v>
      </c>
      <c r="C458" s="22" t="s">
        <v>731</v>
      </c>
      <c r="D458" s="32">
        <f>SUM(B458:C458)</f>
        <v>11.5</v>
      </c>
      <c r="E458" s="58">
        <v>1</v>
      </c>
      <c r="F458" s="23" t="s">
        <v>15</v>
      </c>
      <c r="G458" s="23" t="s">
        <v>218</v>
      </c>
      <c r="H458" s="23" t="s">
        <v>13</v>
      </c>
      <c r="I458" s="23" t="s">
        <v>28</v>
      </c>
      <c r="J458" s="65" t="s">
        <v>1162</v>
      </c>
      <c r="K458" s="21" t="s">
        <v>222</v>
      </c>
      <c r="L458" s="21" t="s">
        <v>818</v>
      </c>
      <c r="M458" s="21"/>
      <c r="N458" s="89"/>
      <c r="O458" s="89"/>
      <c r="P458" s="89"/>
      <c r="Q458" s="89">
        <v>45.6</v>
      </c>
      <c r="R458" s="87"/>
      <c r="S458" s="87"/>
      <c r="T458" s="87"/>
      <c r="U458" s="87"/>
      <c r="V458" s="87"/>
      <c r="W458" s="87"/>
    </row>
    <row r="459" spans="1:23" x14ac:dyDescent="0.25">
      <c r="A459" s="23" t="s">
        <v>10</v>
      </c>
      <c r="B459" s="32">
        <v>14</v>
      </c>
      <c r="C459" s="22" t="s">
        <v>731</v>
      </c>
      <c r="D459" s="32">
        <f t="shared" ref="D459:D521" si="31">SUM(B459:C459)</f>
        <v>14</v>
      </c>
      <c r="E459" s="58">
        <v>4</v>
      </c>
      <c r="F459" s="23" t="s">
        <v>12</v>
      </c>
      <c r="G459" s="23" t="s">
        <v>218</v>
      </c>
      <c r="H459" s="23" t="s">
        <v>13</v>
      </c>
      <c r="I459" s="23" t="s">
        <v>53</v>
      </c>
      <c r="J459" s="65" t="s">
        <v>1162</v>
      </c>
      <c r="K459" s="21" t="s">
        <v>222</v>
      </c>
      <c r="L459" s="21" t="s">
        <v>818</v>
      </c>
      <c r="M459" s="21"/>
      <c r="N459" s="89"/>
      <c r="O459" s="89"/>
      <c r="P459" s="89"/>
      <c r="Q459" s="87"/>
      <c r="R459" s="87"/>
      <c r="S459" s="87"/>
      <c r="T459" s="87"/>
      <c r="U459" s="87"/>
      <c r="V459" s="87"/>
      <c r="W459" s="87"/>
    </row>
    <row r="460" spans="1:23" x14ac:dyDescent="0.25">
      <c r="A460" s="23" t="s">
        <v>10</v>
      </c>
      <c r="B460" s="32">
        <v>10.199999999999999</v>
      </c>
      <c r="C460" s="22" t="s">
        <v>731</v>
      </c>
      <c r="D460" s="32">
        <f t="shared" si="31"/>
        <v>10.199999999999999</v>
      </c>
      <c r="E460" s="58">
        <v>15</v>
      </c>
      <c r="F460" s="23" t="s">
        <v>36</v>
      </c>
      <c r="G460" s="23" t="s">
        <v>218</v>
      </c>
      <c r="H460" s="23" t="s">
        <v>13</v>
      </c>
      <c r="I460" s="23" t="s">
        <v>53</v>
      </c>
      <c r="J460" s="65" t="s">
        <v>1162</v>
      </c>
      <c r="K460" s="21" t="s">
        <v>222</v>
      </c>
      <c r="L460" s="21" t="s">
        <v>818</v>
      </c>
      <c r="M460" s="21"/>
      <c r="N460" s="89"/>
      <c r="O460" s="89"/>
      <c r="P460" s="89"/>
      <c r="Q460" s="87"/>
      <c r="R460" s="87"/>
      <c r="S460" s="87"/>
      <c r="T460" s="87"/>
      <c r="U460" s="87"/>
      <c r="V460" s="87"/>
      <c r="W460" s="87"/>
    </row>
    <row r="461" spans="1:23" x14ac:dyDescent="0.25">
      <c r="A461" s="23" t="s">
        <v>10</v>
      </c>
      <c r="B461" s="32">
        <v>8.1999999999999993</v>
      </c>
      <c r="C461" s="22" t="s">
        <v>731</v>
      </c>
      <c r="D461" s="32">
        <f t="shared" si="31"/>
        <v>8.1999999999999993</v>
      </c>
      <c r="E461" s="58">
        <v>7</v>
      </c>
      <c r="F461" s="23" t="s">
        <v>15</v>
      </c>
      <c r="G461" s="23" t="s">
        <v>218</v>
      </c>
      <c r="H461" s="23" t="s">
        <v>13</v>
      </c>
      <c r="I461" s="23" t="s">
        <v>41</v>
      </c>
      <c r="J461" s="65" t="s">
        <v>1162</v>
      </c>
      <c r="K461" s="21" t="s">
        <v>222</v>
      </c>
      <c r="L461" s="21" t="s">
        <v>818</v>
      </c>
      <c r="M461" s="21"/>
      <c r="N461" s="89"/>
      <c r="O461" s="89"/>
      <c r="P461" s="89"/>
      <c r="Q461" s="87"/>
      <c r="R461" s="87"/>
      <c r="S461" s="87"/>
      <c r="T461" s="87"/>
      <c r="U461" s="87"/>
      <c r="V461" s="87"/>
      <c r="W461" s="87"/>
    </row>
    <row r="462" spans="1:23" x14ac:dyDescent="0.25">
      <c r="A462" s="23" t="s">
        <v>10</v>
      </c>
      <c r="B462" s="32">
        <v>2.8</v>
      </c>
      <c r="C462" s="22" t="s">
        <v>731</v>
      </c>
      <c r="D462" s="32">
        <f t="shared" si="31"/>
        <v>2.8</v>
      </c>
      <c r="E462" s="58">
        <v>7</v>
      </c>
      <c r="F462" s="23" t="s">
        <v>15</v>
      </c>
      <c r="G462" s="23" t="s">
        <v>218</v>
      </c>
      <c r="H462" s="23" t="s">
        <v>13</v>
      </c>
      <c r="I462" s="23" t="s">
        <v>41</v>
      </c>
      <c r="J462" s="65" t="s">
        <v>1162</v>
      </c>
      <c r="K462" s="21" t="s">
        <v>222</v>
      </c>
      <c r="L462" s="21" t="s">
        <v>818</v>
      </c>
      <c r="M462" s="21"/>
      <c r="N462" s="89"/>
      <c r="O462" s="89"/>
      <c r="P462" s="89"/>
      <c r="Q462" s="87"/>
      <c r="R462" s="87"/>
      <c r="S462" s="87"/>
      <c r="T462" s="87"/>
      <c r="U462" s="87"/>
      <c r="V462" s="87"/>
      <c r="W462" s="87"/>
    </row>
    <row r="463" spans="1:23" x14ac:dyDescent="0.25">
      <c r="A463" s="23" t="s">
        <v>10</v>
      </c>
      <c r="B463" s="27">
        <v>40</v>
      </c>
      <c r="C463" s="22" t="s">
        <v>731</v>
      </c>
      <c r="D463" s="27">
        <v>40</v>
      </c>
      <c r="E463" s="25">
        <v>1</v>
      </c>
      <c r="F463" s="21" t="s">
        <v>716</v>
      </c>
      <c r="G463" s="21" t="s">
        <v>731</v>
      </c>
      <c r="H463" s="23" t="s">
        <v>725</v>
      </c>
      <c r="I463" s="21" t="s">
        <v>732</v>
      </c>
      <c r="J463" s="21" t="s">
        <v>770</v>
      </c>
      <c r="K463" s="21" t="s">
        <v>734</v>
      </c>
      <c r="L463" s="21" t="s">
        <v>733</v>
      </c>
      <c r="M463" s="21" t="s">
        <v>753</v>
      </c>
      <c r="N463" s="88"/>
      <c r="O463" s="88"/>
      <c r="P463" s="88"/>
      <c r="Q463" s="87"/>
      <c r="R463" s="87"/>
      <c r="S463" s="87"/>
      <c r="T463" s="87"/>
      <c r="U463" s="87"/>
      <c r="V463" s="87"/>
      <c r="W463" s="87">
        <v>40</v>
      </c>
    </row>
    <row r="464" spans="1:23" x14ac:dyDescent="0.25">
      <c r="A464" s="23" t="s">
        <v>10</v>
      </c>
      <c r="B464" s="33">
        <f>(15+30)/2</f>
        <v>22.5</v>
      </c>
      <c r="C464" s="22" t="s">
        <v>731</v>
      </c>
      <c r="D464" s="32">
        <f t="shared" si="31"/>
        <v>22.5</v>
      </c>
      <c r="E464" s="25">
        <v>1</v>
      </c>
      <c r="F464" s="21" t="s">
        <v>716</v>
      </c>
      <c r="G464" s="21" t="s">
        <v>731</v>
      </c>
      <c r="H464" s="23" t="s">
        <v>725</v>
      </c>
      <c r="I464" s="21" t="s">
        <v>785</v>
      </c>
      <c r="J464" s="21" t="s">
        <v>750</v>
      </c>
      <c r="K464" s="21" t="s">
        <v>974</v>
      </c>
      <c r="L464" s="21"/>
      <c r="M464" s="21" t="s">
        <v>865</v>
      </c>
      <c r="N464" s="98"/>
      <c r="O464" s="98"/>
      <c r="P464" s="98"/>
      <c r="Q464" s="87"/>
      <c r="R464" s="87"/>
      <c r="S464" s="87"/>
      <c r="T464" s="87"/>
      <c r="U464" s="87"/>
      <c r="V464" s="87"/>
      <c r="W464" s="87"/>
    </row>
    <row r="465" spans="1:23" x14ac:dyDescent="0.25">
      <c r="A465" s="23" t="s">
        <v>10</v>
      </c>
      <c r="B465" s="32">
        <v>30.4</v>
      </c>
      <c r="C465" s="22" t="s">
        <v>731</v>
      </c>
      <c r="D465" s="32">
        <f t="shared" si="31"/>
        <v>30.4</v>
      </c>
      <c r="E465" s="58">
        <v>8</v>
      </c>
      <c r="F465" s="23" t="s">
        <v>12</v>
      </c>
      <c r="G465" s="23" t="s">
        <v>218</v>
      </c>
      <c r="H465" s="23" t="s">
        <v>13</v>
      </c>
      <c r="I465" s="23" t="s">
        <v>52</v>
      </c>
      <c r="J465" s="65" t="s">
        <v>1162</v>
      </c>
      <c r="K465" s="21" t="s">
        <v>222</v>
      </c>
      <c r="L465" s="21" t="s">
        <v>818</v>
      </c>
      <c r="M465" s="21"/>
      <c r="N465" s="89"/>
      <c r="O465" s="89"/>
      <c r="P465" s="89"/>
      <c r="Q465" s="87"/>
      <c r="R465" s="87"/>
      <c r="S465" s="87"/>
      <c r="T465" s="87"/>
      <c r="U465" s="87"/>
      <c r="V465" s="87"/>
      <c r="W465" s="87"/>
    </row>
    <row r="466" spans="1:23" x14ac:dyDescent="0.25">
      <c r="A466" s="23" t="s">
        <v>10</v>
      </c>
      <c r="B466" s="32">
        <v>5.7</v>
      </c>
      <c r="C466" s="22" t="s">
        <v>731</v>
      </c>
      <c r="D466" s="32">
        <f t="shared" si="31"/>
        <v>5.7</v>
      </c>
      <c r="E466" s="58">
        <v>4</v>
      </c>
      <c r="F466" s="23" t="s">
        <v>36</v>
      </c>
      <c r="G466" s="23" t="s">
        <v>218</v>
      </c>
      <c r="H466" s="23" t="s">
        <v>13</v>
      </c>
      <c r="I466" s="23" t="s">
        <v>52</v>
      </c>
      <c r="J466" s="65" t="s">
        <v>1162</v>
      </c>
      <c r="K466" s="21" t="s">
        <v>222</v>
      </c>
      <c r="L466" s="21" t="s">
        <v>818</v>
      </c>
      <c r="M466" s="21"/>
      <c r="N466" s="89"/>
      <c r="O466" s="89"/>
      <c r="P466" s="89"/>
      <c r="Q466" s="87"/>
      <c r="R466" s="87"/>
      <c r="S466" s="87"/>
      <c r="T466" s="87"/>
      <c r="U466" s="87"/>
      <c r="V466" s="87"/>
      <c r="W466" s="87"/>
    </row>
    <row r="467" spans="1:23" x14ac:dyDescent="0.25">
      <c r="A467" s="23" t="s">
        <v>10</v>
      </c>
      <c r="B467" s="32">
        <v>8.5</v>
      </c>
      <c r="C467" s="22" t="s">
        <v>731</v>
      </c>
      <c r="D467" s="32">
        <f t="shared" si="31"/>
        <v>8.5</v>
      </c>
      <c r="E467" s="36">
        <v>1</v>
      </c>
      <c r="F467" s="23" t="s">
        <v>12</v>
      </c>
      <c r="G467" s="23" t="s">
        <v>218</v>
      </c>
      <c r="H467" s="23" t="s">
        <v>13</v>
      </c>
      <c r="I467" s="23" t="s">
        <v>25</v>
      </c>
      <c r="J467" s="65" t="s">
        <v>1162</v>
      </c>
      <c r="K467" s="21" t="s">
        <v>222</v>
      </c>
      <c r="L467" s="21" t="s">
        <v>818</v>
      </c>
      <c r="M467" s="21"/>
      <c r="N467" s="89"/>
      <c r="O467" s="89"/>
      <c r="P467" s="89"/>
      <c r="Q467" s="89">
        <v>43.2</v>
      </c>
      <c r="R467" s="87"/>
      <c r="S467" s="87"/>
      <c r="T467" s="89">
        <v>1.7</v>
      </c>
      <c r="U467" s="87"/>
      <c r="V467" s="87"/>
      <c r="W467" s="87"/>
    </row>
    <row r="468" spans="1:23" x14ac:dyDescent="0.25">
      <c r="A468" s="23" t="s">
        <v>10</v>
      </c>
      <c r="B468" s="22">
        <v>30</v>
      </c>
      <c r="C468" s="22" t="s">
        <v>731</v>
      </c>
      <c r="D468" s="32">
        <f t="shared" si="31"/>
        <v>30</v>
      </c>
      <c r="E468" s="25">
        <v>1</v>
      </c>
      <c r="F468" s="21" t="s">
        <v>716</v>
      </c>
      <c r="G468" s="21" t="s">
        <v>731</v>
      </c>
      <c r="H468" s="23" t="s">
        <v>725</v>
      </c>
      <c r="I468" s="21" t="s">
        <v>788</v>
      </c>
      <c r="J468" s="21" t="s">
        <v>770</v>
      </c>
      <c r="K468" s="21" t="s">
        <v>808</v>
      </c>
      <c r="L468" s="21"/>
      <c r="M468" s="21" t="s">
        <v>803</v>
      </c>
      <c r="N468" s="87"/>
      <c r="O468" s="87"/>
      <c r="P468" s="87"/>
      <c r="Q468" s="87"/>
      <c r="R468" s="87"/>
      <c r="S468" s="87"/>
      <c r="T468" s="87"/>
      <c r="U468" s="87"/>
      <c r="V468" s="87"/>
      <c r="W468" s="87"/>
    </row>
    <row r="469" spans="1:23" x14ac:dyDescent="0.25">
      <c r="A469" s="23" t="s">
        <v>10</v>
      </c>
      <c r="B469" s="32">
        <v>37.4</v>
      </c>
      <c r="C469" s="22" t="s">
        <v>731</v>
      </c>
      <c r="D469" s="32">
        <f t="shared" si="31"/>
        <v>37.4</v>
      </c>
      <c r="E469" s="58">
        <v>15</v>
      </c>
      <c r="F469" s="23" t="s">
        <v>12</v>
      </c>
      <c r="G469" s="23" t="s">
        <v>218</v>
      </c>
      <c r="H469" s="23" t="s">
        <v>13</v>
      </c>
      <c r="I469" s="23" t="s">
        <v>46</v>
      </c>
      <c r="J469" s="65" t="s">
        <v>1162</v>
      </c>
      <c r="K469" s="21" t="s">
        <v>222</v>
      </c>
      <c r="L469" s="21" t="s">
        <v>818</v>
      </c>
      <c r="M469" s="21"/>
      <c r="N469" s="89"/>
      <c r="O469" s="89"/>
      <c r="P469" s="89"/>
      <c r="Q469" s="89">
        <v>42.8</v>
      </c>
      <c r="R469" s="87"/>
      <c r="S469" s="87"/>
      <c r="T469" s="87"/>
      <c r="U469" s="87"/>
      <c r="V469" s="87"/>
      <c r="W469" s="87"/>
    </row>
    <row r="470" spans="1:23" x14ac:dyDescent="0.25">
      <c r="A470" s="23" t="s">
        <v>10</v>
      </c>
      <c r="B470" s="32">
        <v>10.1</v>
      </c>
      <c r="C470" s="22" t="s">
        <v>731</v>
      </c>
      <c r="D470" s="32">
        <f t="shared" si="31"/>
        <v>10.1</v>
      </c>
      <c r="E470" s="58">
        <v>10</v>
      </c>
      <c r="F470" s="23" t="s">
        <v>12</v>
      </c>
      <c r="G470" s="23" t="s">
        <v>218</v>
      </c>
      <c r="H470" s="23" t="s">
        <v>13</v>
      </c>
      <c r="I470" s="23" t="s">
        <v>29</v>
      </c>
      <c r="J470" s="65" t="s">
        <v>1162</v>
      </c>
      <c r="K470" s="21" t="s">
        <v>222</v>
      </c>
      <c r="L470" s="21" t="s">
        <v>818</v>
      </c>
      <c r="M470" s="21"/>
      <c r="N470" s="89"/>
      <c r="O470" s="89"/>
      <c r="P470" s="89"/>
      <c r="Q470" s="89">
        <v>68.599999999999994</v>
      </c>
      <c r="R470" s="87"/>
      <c r="S470" s="87"/>
      <c r="T470" s="87"/>
      <c r="U470" s="87"/>
      <c r="V470" s="87"/>
      <c r="W470" s="87"/>
    </row>
    <row r="471" spans="1:23" x14ac:dyDescent="0.25">
      <c r="A471" s="23" t="s">
        <v>10</v>
      </c>
      <c r="B471" s="32">
        <v>27.4</v>
      </c>
      <c r="C471" s="22" t="s">
        <v>731</v>
      </c>
      <c r="D471" s="32">
        <f t="shared" si="31"/>
        <v>27.4</v>
      </c>
      <c r="E471" s="58">
        <v>12</v>
      </c>
      <c r="F471" s="23" t="s">
        <v>12</v>
      </c>
      <c r="G471" s="23" t="s">
        <v>218</v>
      </c>
      <c r="H471" s="23" t="s">
        <v>13</v>
      </c>
      <c r="I471" s="23" t="s">
        <v>30</v>
      </c>
      <c r="J471" s="65" t="s">
        <v>1162</v>
      </c>
      <c r="K471" s="21" t="s">
        <v>222</v>
      </c>
      <c r="L471" s="21" t="s">
        <v>818</v>
      </c>
      <c r="M471" s="21"/>
      <c r="N471" s="89"/>
      <c r="O471" s="89"/>
      <c r="P471" s="89"/>
      <c r="Q471" s="89">
        <v>48.5</v>
      </c>
      <c r="R471" s="87"/>
      <c r="S471" s="87"/>
      <c r="T471" s="87"/>
      <c r="U471" s="87"/>
      <c r="V471" s="87"/>
      <c r="W471" s="87"/>
    </row>
    <row r="472" spans="1:23" x14ac:dyDescent="0.25">
      <c r="A472" s="23" t="s">
        <v>10</v>
      </c>
      <c r="B472" s="44">
        <v>8.1</v>
      </c>
      <c r="C472" s="22" t="s">
        <v>731</v>
      </c>
      <c r="D472" s="32">
        <f t="shared" si="31"/>
        <v>8.1</v>
      </c>
      <c r="E472" s="58">
        <v>10</v>
      </c>
      <c r="F472" s="23" t="s">
        <v>12</v>
      </c>
      <c r="G472" s="23" t="s">
        <v>218</v>
      </c>
      <c r="H472" s="23" t="s">
        <v>13</v>
      </c>
      <c r="I472" s="23" t="s">
        <v>11</v>
      </c>
      <c r="J472" s="65" t="s">
        <v>1162</v>
      </c>
      <c r="K472" s="21" t="s">
        <v>222</v>
      </c>
      <c r="L472" s="21" t="s">
        <v>818</v>
      </c>
      <c r="M472" s="21"/>
      <c r="N472" s="95"/>
      <c r="O472" s="95"/>
      <c r="P472" s="95"/>
      <c r="Q472" s="89">
        <v>39.4</v>
      </c>
      <c r="R472" s="89">
        <v>9.3000000000000007</v>
      </c>
      <c r="S472" s="89">
        <v>2.1</v>
      </c>
      <c r="T472" s="89">
        <v>1.6</v>
      </c>
      <c r="U472" s="87"/>
      <c r="V472" s="87"/>
      <c r="W472" s="87"/>
    </row>
    <row r="473" spans="1:23" x14ac:dyDescent="0.25">
      <c r="A473" s="23" t="s">
        <v>10</v>
      </c>
      <c r="B473" s="37">
        <v>22.1</v>
      </c>
      <c r="C473" s="22" t="s">
        <v>731</v>
      </c>
      <c r="D473" s="32">
        <f t="shared" si="31"/>
        <v>22.1</v>
      </c>
      <c r="E473" s="58">
        <v>11</v>
      </c>
      <c r="F473" s="23" t="s">
        <v>15</v>
      </c>
      <c r="G473" s="23" t="s">
        <v>220</v>
      </c>
      <c r="H473" s="23" t="s">
        <v>13</v>
      </c>
      <c r="I473" s="23" t="s">
        <v>40</v>
      </c>
      <c r="J473" s="65" t="s">
        <v>1162</v>
      </c>
      <c r="K473" s="21" t="s">
        <v>222</v>
      </c>
      <c r="L473" s="21" t="s">
        <v>818</v>
      </c>
      <c r="M473" s="21"/>
      <c r="N473" s="90"/>
      <c r="O473" s="90"/>
      <c r="P473" s="90"/>
      <c r="Q473" s="90">
        <v>8.3000000000000007</v>
      </c>
      <c r="R473" s="87"/>
      <c r="S473" s="87"/>
      <c r="T473" s="87"/>
      <c r="U473" s="87"/>
      <c r="V473" s="87"/>
      <c r="W473" s="87"/>
    </row>
    <row r="474" spans="1:23" x14ac:dyDescent="0.25">
      <c r="A474" s="23" t="s">
        <v>10</v>
      </c>
      <c r="B474" s="32">
        <v>8.4</v>
      </c>
      <c r="C474" s="22" t="s">
        <v>731</v>
      </c>
      <c r="D474" s="32">
        <f t="shared" si="31"/>
        <v>8.4</v>
      </c>
      <c r="E474" s="58">
        <v>7</v>
      </c>
      <c r="F474" s="23" t="s">
        <v>15</v>
      </c>
      <c r="G474" s="23" t="s">
        <v>220</v>
      </c>
      <c r="H474" s="23" t="s">
        <v>13</v>
      </c>
      <c r="I474" s="23" t="s">
        <v>27</v>
      </c>
      <c r="J474" s="65" t="s">
        <v>1162</v>
      </c>
      <c r="K474" s="21" t="s">
        <v>222</v>
      </c>
      <c r="L474" s="21" t="s">
        <v>818</v>
      </c>
      <c r="M474" s="21"/>
      <c r="N474" s="89"/>
      <c r="O474" s="89"/>
      <c r="P474" s="89"/>
      <c r="Q474" s="89">
        <v>34.6</v>
      </c>
      <c r="R474" s="87"/>
      <c r="S474" s="87"/>
      <c r="T474" s="87"/>
      <c r="U474" s="87"/>
      <c r="V474" s="87"/>
      <c r="W474" s="87"/>
    </row>
    <row r="475" spans="1:23" x14ac:dyDescent="0.25">
      <c r="A475" s="23" t="s">
        <v>10</v>
      </c>
      <c r="B475" s="32">
        <v>15.3</v>
      </c>
      <c r="C475" s="22" t="s">
        <v>731</v>
      </c>
      <c r="D475" s="32">
        <f t="shared" si="31"/>
        <v>15.3</v>
      </c>
      <c r="E475" s="58">
        <v>8</v>
      </c>
      <c r="F475" s="23" t="s">
        <v>12</v>
      </c>
      <c r="G475" s="23" t="s">
        <v>220</v>
      </c>
      <c r="H475" s="23" t="s">
        <v>13</v>
      </c>
      <c r="I475" s="23" t="s">
        <v>27</v>
      </c>
      <c r="J475" s="65" t="s">
        <v>1162</v>
      </c>
      <c r="K475" s="21" t="s">
        <v>222</v>
      </c>
      <c r="L475" s="21" t="s">
        <v>818</v>
      </c>
      <c r="M475" s="21"/>
      <c r="N475" s="89"/>
      <c r="O475" s="89"/>
      <c r="P475" s="89"/>
      <c r="Q475" s="89">
        <v>19.8</v>
      </c>
      <c r="R475" s="87"/>
      <c r="S475" s="87"/>
      <c r="T475" s="87"/>
      <c r="U475" s="87"/>
      <c r="V475" s="87"/>
      <c r="W475" s="87"/>
    </row>
    <row r="476" spans="1:23" x14ac:dyDescent="0.25">
      <c r="A476" s="23" t="s">
        <v>10</v>
      </c>
      <c r="B476" s="33">
        <v>15</v>
      </c>
      <c r="C476" s="33">
        <v>15</v>
      </c>
      <c r="D476" s="33">
        <f>SUM(B476:C476)</f>
        <v>30</v>
      </c>
      <c r="E476" s="25">
        <v>1</v>
      </c>
      <c r="F476" s="21" t="s">
        <v>716</v>
      </c>
      <c r="G476" s="21" t="s">
        <v>731</v>
      </c>
      <c r="H476" s="23" t="s">
        <v>725</v>
      </c>
      <c r="I476" s="21" t="s">
        <v>739</v>
      </c>
      <c r="J476" s="24" t="s">
        <v>738</v>
      </c>
      <c r="K476" s="21"/>
      <c r="L476" s="21"/>
      <c r="M476" s="21" t="s">
        <v>874</v>
      </c>
      <c r="N476" s="98"/>
      <c r="O476" s="98"/>
      <c r="P476" s="98"/>
      <c r="Q476" s="87"/>
      <c r="R476" s="87"/>
      <c r="S476" s="87"/>
      <c r="T476" s="98"/>
      <c r="U476" s="87"/>
      <c r="V476" s="87"/>
      <c r="W476" s="87"/>
    </row>
    <row r="477" spans="1:23" x14ac:dyDescent="0.25">
      <c r="A477" s="23" t="s">
        <v>10</v>
      </c>
      <c r="B477" s="32">
        <v>25.7</v>
      </c>
      <c r="C477" s="22" t="s">
        <v>731</v>
      </c>
      <c r="D477" s="32">
        <f t="shared" si="31"/>
        <v>25.7</v>
      </c>
      <c r="E477" s="58">
        <v>16</v>
      </c>
      <c r="F477" s="23" t="s">
        <v>12</v>
      </c>
      <c r="G477" s="23" t="s">
        <v>218</v>
      </c>
      <c r="H477" s="23" t="s">
        <v>13</v>
      </c>
      <c r="I477" s="23" t="s">
        <v>48</v>
      </c>
      <c r="J477" s="65" t="s">
        <v>1162</v>
      </c>
      <c r="K477" s="21" t="s">
        <v>222</v>
      </c>
      <c r="L477" s="21" t="s">
        <v>818</v>
      </c>
      <c r="M477" s="21"/>
      <c r="N477" s="89"/>
      <c r="O477" s="89"/>
      <c r="P477" s="89"/>
      <c r="Q477" s="89">
        <v>58.8</v>
      </c>
      <c r="R477" s="87"/>
      <c r="S477" s="87"/>
      <c r="T477" s="87"/>
      <c r="U477" s="87"/>
      <c r="V477" s="87"/>
      <c r="W477" s="87"/>
    </row>
    <row r="478" spans="1:23" x14ac:dyDescent="0.25">
      <c r="A478" s="23" t="s">
        <v>10</v>
      </c>
      <c r="B478" s="32">
        <v>29.9</v>
      </c>
      <c r="C478" s="22" t="s">
        <v>731</v>
      </c>
      <c r="D478" s="32">
        <f t="shared" si="31"/>
        <v>29.9</v>
      </c>
      <c r="E478" s="58">
        <v>8</v>
      </c>
      <c r="F478" s="23" t="s">
        <v>12</v>
      </c>
      <c r="G478" s="23" t="s">
        <v>218</v>
      </c>
      <c r="H478" s="23" t="s">
        <v>13</v>
      </c>
      <c r="I478" s="23" t="s">
        <v>48</v>
      </c>
      <c r="J478" s="65" t="s">
        <v>1162</v>
      </c>
      <c r="K478" s="21" t="s">
        <v>222</v>
      </c>
      <c r="L478" s="21" t="s">
        <v>818</v>
      </c>
      <c r="M478" s="21"/>
      <c r="N478" s="89"/>
      <c r="O478" s="89"/>
      <c r="P478" s="89"/>
      <c r="Q478" s="89">
        <v>47.8</v>
      </c>
      <c r="R478" s="87"/>
      <c r="S478" s="87"/>
      <c r="T478" s="87"/>
      <c r="U478" s="87"/>
      <c r="V478" s="87"/>
      <c r="W478" s="87"/>
    </row>
    <row r="479" spans="1:23" x14ac:dyDescent="0.25">
      <c r="A479" s="23" t="s">
        <v>10</v>
      </c>
      <c r="B479" s="32">
        <v>30</v>
      </c>
      <c r="C479" s="22" t="s">
        <v>731</v>
      </c>
      <c r="D479" s="32">
        <f t="shared" si="31"/>
        <v>30</v>
      </c>
      <c r="E479" s="58">
        <v>5</v>
      </c>
      <c r="F479" s="23" t="s">
        <v>12</v>
      </c>
      <c r="G479" s="23" t="s">
        <v>218</v>
      </c>
      <c r="H479" s="23" t="s">
        <v>13</v>
      </c>
      <c r="I479" s="23" t="s">
        <v>47</v>
      </c>
      <c r="J479" s="65" t="s">
        <v>1162</v>
      </c>
      <c r="K479" s="21" t="s">
        <v>222</v>
      </c>
      <c r="L479" s="21" t="s">
        <v>818</v>
      </c>
      <c r="M479" s="21"/>
      <c r="N479" s="89"/>
      <c r="O479" s="89"/>
      <c r="P479" s="89"/>
      <c r="Q479" s="87"/>
      <c r="R479" s="87"/>
      <c r="S479" s="87"/>
      <c r="T479" s="87"/>
      <c r="U479" s="87"/>
      <c r="V479" s="87"/>
      <c r="W479" s="87"/>
    </row>
    <row r="480" spans="1:23" x14ac:dyDescent="0.25">
      <c r="A480" s="23" t="s">
        <v>10</v>
      </c>
      <c r="B480" s="32">
        <v>10.6</v>
      </c>
      <c r="C480" s="22" t="s">
        <v>731</v>
      </c>
      <c r="D480" s="32">
        <f t="shared" si="31"/>
        <v>10.6</v>
      </c>
      <c r="E480" s="58">
        <v>5</v>
      </c>
      <c r="F480" s="23" t="s">
        <v>12</v>
      </c>
      <c r="G480" s="23" t="s">
        <v>218</v>
      </c>
      <c r="H480" s="23" t="s">
        <v>13</v>
      </c>
      <c r="I480" s="23" t="s">
        <v>47</v>
      </c>
      <c r="J480" s="65" t="s">
        <v>1162</v>
      </c>
      <c r="K480" s="21" t="s">
        <v>222</v>
      </c>
      <c r="L480" s="21" t="s">
        <v>818</v>
      </c>
      <c r="M480" s="21"/>
      <c r="N480" s="89"/>
      <c r="O480" s="89"/>
      <c r="P480" s="89"/>
      <c r="Q480" s="87"/>
      <c r="R480" s="87"/>
      <c r="S480" s="87"/>
      <c r="T480" s="87"/>
      <c r="U480" s="87"/>
      <c r="V480" s="87"/>
      <c r="W480" s="87"/>
    </row>
    <row r="481" spans="1:23" x14ac:dyDescent="0.25">
      <c r="A481" s="23" t="s">
        <v>10</v>
      </c>
      <c r="B481" s="22">
        <v>90</v>
      </c>
      <c r="C481" s="22" t="s">
        <v>731</v>
      </c>
      <c r="D481" s="32">
        <f t="shared" si="31"/>
        <v>90</v>
      </c>
      <c r="E481" s="25">
        <v>1</v>
      </c>
      <c r="F481" s="21" t="s">
        <v>716</v>
      </c>
      <c r="G481" s="21" t="s">
        <v>731</v>
      </c>
      <c r="H481" s="23" t="s">
        <v>725</v>
      </c>
      <c r="I481" s="21" t="s">
        <v>772</v>
      </c>
      <c r="J481" s="21" t="s">
        <v>771</v>
      </c>
      <c r="K481" s="21" t="s">
        <v>878</v>
      </c>
      <c r="L481" s="21"/>
      <c r="M481" s="21" t="s">
        <v>877</v>
      </c>
      <c r="N481" s="87"/>
      <c r="O481" s="87"/>
      <c r="P481" s="87"/>
      <c r="Q481" s="87"/>
      <c r="R481" s="87"/>
      <c r="S481" s="87"/>
      <c r="T481" s="87"/>
      <c r="U481" s="87"/>
      <c r="V481" s="87"/>
      <c r="W481" s="87"/>
    </row>
    <row r="482" spans="1:23" x14ac:dyDescent="0.25">
      <c r="A482" s="23" t="s">
        <v>10</v>
      </c>
      <c r="B482" s="32">
        <v>17.2</v>
      </c>
      <c r="C482" s="22" t="s">
        <v>731</v>
      </c>
      <c r="D482" s="32">
        <f t="shared" si="31"/>
        <v>17.2</v>
      </c>
      <c r="E482" s="58">
        <v>15</v>
      </c>
      <c r="F482" s="23" t="s">
        <v>15</v>
      </c>
      <c r="G482" s="23" t="s">
        <v>218</v>
      </c>
      <c r="H482" s="23" t="s">
        <v>13</v>
      </c>
      <c r="I482" s="23" t="s">
        <v>22</v>
      </c>
      <c r="J482" s="65" t="s">
        <v>1162</v>
      </c>
      <c r="K482" s="21" t="s">
        <v>222</v>
      </c>
      <c r="L482" s="21" t="s">
        <v>818</v>
      </c>
      <c r="M482" s="21"/>
      <c r="N482" s="89"/>
      <c r="O482" s="89"/>
      <c r="P482" s="89"/>
      <c r="Q482" s="89">
        <v>80</v>
      </c>
      <c r="R482" s="87"/>
      <c r="S482" s="87"/>
      <c r="T482" s="89">
        <v>2.6</v>
      </c>
      <c r="U482" s="87"/>
      <c r="V482" s="87"/>
      <c r="W482" s="87"/>
    </row>
    <row r="483" spans="1:23" x14ac:dyDescent="0.25">
      <c r="A483" s="23" t="s">
        <v>10</v>
      </c>
      <c r="B483" s="22">
        <f>20+0</f>
        <v>20</v>
      </c>
      <c r="C483" s="22" t="s">
        <v>731</v>
      </c>
      <c r="D483" s="32">
        <f t="shared" si="31"/>
        <v>20</v>
      </c>
      <c r="E483" s="25">
        <v>1</v>
      </c>
      <c r="F483" s="21" t="s">
        <v>716</v>
      </c>
      <c r="G483" s="21" t="s">
        <v>731</v>
      </c>
      <c r="H483" s="23" t="s">
        <v>725</v>
      </c>
      <c r="I483" s="21" t="s">
        <v>728</v>
      </c>
      <c r="J483" s="21" t="s">
        <v>729</v>
      </c>
      <c r="K483" s="21"/>
      <c r="L483" s="21"/>
      <c r="M483" s="21" t="s">
        <v>882</v>
      </c>
      <c r="N483" s="87"/>
      <c r="O483" s="87"/>
      <c r="P483" s="87"/>
      <c r="Q483" s="87">
        <f>63+1</f>
        <v>64</v>
      </c>
      <c r="R483" s="87">
        <v>15</v>
      </c>
      <c r="S483" s="87"/>
      <c r="T483" s="87"/>
      <c r="U483" s="87"/>
      <c r="V483" s="87"/>
      <c r="W483" s="87"/>
    </row>
    <row r="484" spans="1:23" x14ac:dyDescent="0.25">
      <c r="A484" s="23" t="s">
        <v>10</v>
      </c>
      <c r="B484" s="32">
        <v>10</v>
      </c>
      <c r="C484" s="22" t="s">
        <v>731</v>
      </c>
      <c r="D484" s="32">
        <f t="shared" si="31"/>
        <v>10</v>
      </c>
      <c r="E484" s="58">
        <v>7</v>
      </c>
      <c r="F484" s="23" t="s">
        <v>12</v>
      </c>
      <c r="G484" s="23" t="s">
        <v>218</v>
      </c>
      <c r="H484" s="23" t="s">
        <v>13</v>
      </c>
      <c r="I484" s="23" t="s">
        <v>50</v>
      </c>
      <c r="J484" s="65" t="s">
        <v>1162</v>
      </c>
      <c r="K484" s="21" t="s">
        <v>222</v>
      </c>
      <c r="L484" s="21" t="s">
        <v>818</v>
      </c>
      <c r="M484" s="21"/>
      <c r="N484" s="89"/>
      <c r="O484" s="89"/>
      <c r="P484" s="89"/>
      <c r="Q484" s="89">
        <v>25</v>
      </c>
      <c r="R484" s="87"/>
      <c r="S484" s="87"/>
      <c r="T484" s="87"/>
      <c r="U484" s="87"/>
      <c r="V484" s="87"/>
      <c r="W484" s="87"/>
    </row>
    <row r="485" spans="1:23" x14ac:dyDescent="0.25">
      <c r="A485" s="23" t="s">
        <v>10</v>
      </c>
      <c r="B485" s="32">
        <v>18</v>
      </c>
      <c r="C485" s="22" t="s">
        <v>731</v>
      </c>
      <c r="D485" s="32">
        <f t="shared" si="31"/>
        <v>18</v>
      </c>
      <c r="E485" s="58">
        <v>7</v>
      </c>
      <c r="F485" s="23" t="s">
        <v>12</v>
      </c>
      <c r="G485" s="23" t="s">
        <v>218</v>
      </c>
      <c r="H485" s="23" t="s">
        <v>13</v>
      </c>
      <c r="I485" s="23" t="s">
        <v>50</v>
      </c>
      <c r="J485" s="65" t="s">
        <v>1162</v>
      </c>
      <c r="K485" s="21" t="s">
        <v>222</v>
      </c>
      <c r="L485" s="21" t="s">
        <v>818</v>
      </c>
      <c r="M485" s="21"/>
      <c r="N485" s="89"/>
      <c r="O485" s="89"/>
      <c r="P485" s="89"/>
      <c r="Q485" s="89">
        <v>57</v>
      </c>
      <c r="R485" s="87"/>
      <c r="S485" s="87"/>
      <c r="T485" s="87"/>
      <c r="U485" s="87"/>
      <c r="V485" s="87"/>
      <c r="W485" s="87"/>
    </row>
    <row r="486" spans="1:23" x14ac:dyDescent="0.25">
      <c r="A486" s="23" t="s">
        <v>10</v>
      </c>
      <c r="B486" s="57">
        <v>23</v>
      </c>
      <c r="C486" s="22" t="s">
        <v>731</v>
      </c>
      <c r="D486" s="32">
        <f t="shared" si="31"/>
        <v>23</v>
      </c>
      <c r="E486" s="58">
        <v>6</v>
      </c>
      <c r="F486" s="23" t="s">
        <v>12</v>
      </c>
      <c r="G486" s="23" t="s">
        <v>220</v>
      </c>
      <c r="H486" s="23" t="s">
        <v>13</v>
      </c>
      <c r="I486" s="23" t="s">
        <v>34</v>
      </c>
      <c r="J486" s="65" t="s">
        <v>1162</v>
      </c>
      <c r="K486" s="21" t="s">
        <v>222</v>
      </c>
      <c r="L486" s="21" t="s">
        <v>818</v>
      </c>
      <c r="M486" s="21"/>
      <c r="N486" s="102"/>
      <c r="O486" s="102"/>
      <c r="P486" s="102"/>
      <c r="Q486" s="87"/>
      <c r="R486" s="87"/>
      <c r="S486" s="87"/>
      <c r="T486" s="87"/>
      <c r="U486" s="87"/>
      <c r="V486" s="87"/>
      <c r="W486" s="87"/>
    </row>
    <row r="487" spans="1:23" x14ac:dyDescent="0.25">
      <c r="A487" s="23" t="s">
        <v>10</v>
      </c>
      <c r="B487" s="22" t="s">
        <v>731</v>
      </c>
      <c r="C487" s="22" t="s">
        <v>731</v>
      </c>
      <c r="D487" s="22" t="s">
        <v>731</v>
      </c>
      <c r="E487" s="36">
        <v>1</v>
      </c>
      <c r="F487" s="23" t="s">
        <v>12</v>
      </c>
      <c r="G487" s="23" t="s">
        <v>220</v>
      </c>
      <c r="H487" s="23" t="s">
        <v>13</v>
      </c>
      <c r="I487" s="23" t="s">
        <v>34</v>
      </c>
      <c r="J487" s="65" t="s">
        <v>1162</v>
      </c>
      <c r="K487" s="21" t="s">
        <v>222</v>
      </c>
      <c r="L487" s="21" t="s">
        <v>818</v>
      </c>
      <c r="M487" s="21"/>
      <c r="N487" s="87"/>
      <c r="O487" s="87"/>
      <c r="P487" s="87"/>
      <c r="Q487" s="89">
        <v>40</v>
      </c>
      <c r="R487" s="87"/>
      <c r="S487" s="87"/>
      <c r="T487" s="87"/>
      <c r="U487" s="87"/>
      <c r="V487" s="87"/>
      <c r="W487" s="87"/>
    </row>
    <row r="488" spans="1:23" x14ac:dyDescent="0.25">
      <c r="A488" s="23" t="s">
        <v>10</v>
      </c>
      <c r="B488" s="32">
        <v>22.5</v>
      </c>
      <c r="C488" s="22" t="s">
        <v>731</v>
      </c>
      <c r="D488" s="32">
        <f t="shared" si="31"/>
        <v>22.5</v>
      </c>
      <c r="E488" s="58">
        <v>25</v>
      </c>
      <c r="F488" s="23" t="s">
        <v>15</v>
      </c>
      <c r="G488" s="23" t="s">
        <v>218</v>
      </c>
      <c r="H488" s="23" t="s">
        <v>13</v>
      </c>
      <c r="I488" s="23" t="s">
        <v>51</v>
      </c>
      <c r="J488" s="65" t="s">
        <v>1162</v>
      </c>
      <c r="K488" s="21" t="s">
        <v>222</v>
      </c>
      <c r="L488" s="21" t="s">
        <v>818</v>
      </c>
      <c r="M488" s="21"/>
      <c r="N488" s="89"/>
      <c r="O488" s="89"/>
      <c r="P488" s="89"/>
      <c r="Q488" s="89">
        <v>27.5</v>
      </c>
      <c r="R488" s="87"/>
      <c r="S488" s="87"/>
      <c r="T488" s="87"/>
      <c r="U488" s="87"/>
      <c r="V488" s="87"/>
      <c r="W488" s="87"/>
    </row>
    <row r="489" spans="1:23" x14ac:dyDescent="0.25">
      <c r="A489" s="23" t="s">
        <v>10</v>
      </c>
      <c r="B489" s="32">
        <v>10.1</v>
      </c>
      <c r="C489" s="22" t="s">
        <v>731</v>
      </c>
      <c r="D489" s="32">
        <f t="shared" si="31"/>
        <v>10.1</v>
      </c>
      <c r="E489" s="58">
        <v>6</v>
      </c>
      <c r="F489" s="23" t="s">
        <v>12</v>
      </c>
      <c r="G489" s="23" t="s">
        <v>218</v>
      </c>
      <c r="H489" s="23" t="s">
        <v>13</v>
      </c>
      <c r="I489" s="23" t="s">
        <v>17</v>
      </c>
      <c r="J489" s="65" t="s">
        <v>1162</v>
      </c>
      <c r="K489" s="21" t="s">
        <v>222</v>
      </c>
      <c r="L489" s="21" t="s">
        <v>818</v>
      </c>
      <c r="M489" s="21"/>
      <c r="N489" s="89"/>
      <c r="O489" s="89"/>
      <c r="P489" s="89"/>
      <c r="Q489" s="89">
        <v>42.9</v>
      </c>
      <c r="R489" s="87"/>
      <c r="S489" s="87"/>
      <c r="T489" s="89">
        <v>1.3</v>
      </c>
      <c r="U489" s="87"/>
      <c r="V489" s="87"/>
      <c r="W489" s="87"/>
    </row>
    <row r="490" spans="1:23" x14ac:dyDescent="0.25">
      <c r="A490" s="23" t="s">
        <v>10</v>
      </c>
      <c r="B490" s="32">
        <v>9.6</v>
      </c>
      <c r="C490" s="22" t="s">
        <v>731</v>
      </c>
      <c r="D490" s="32">
        <f t="shared" si="31"/>
        <v>9.6</v>
      </c>
      <c r="E490" s="58">
        <v>6</v>
      </c>
      <c r="F490" s="23" t="s">
        <v>12</v>
      </c>
      <c r="G490" s="23" t="s">
        <v>218</v>
      </c>
      <c r="H490" s="23" t="s">
        <v>13</v>
      </c>
      <c r="I490" s="23" t="s">
        <v>17</v>
      </c>
      <c r="J490" s="65" t="s">
        <v>1162</v>
      </c>
      <c r="K490" s="21" t="s">
        <v>222</v>
      </c>
      <c r="L490" s="21" t="s">
        <v>818</v>
      </c>
      <c r="M490" s="21"/>
      <c r="N490" s="89"/>
      <c r="O490" s="89"/>
      <c r="P490" s="89"/>
      <c r="Q490" s="89">
        <v>73</v>
      </c>
      <c r="R490" s="87"/>
      <c r="S490" s="87"/>
      <c r="T490" s="89">
        <v>0.5</v>
      </c>
      <c r="U490" s="87"/>
      <c r="V490" s="87"/>
      <c r="W490" s="87"/>
    </row>
    <row r="491" spans="1:23" x14ac:dyDescent="0.25">
      <c r="A491" s="23" t="s">
        <v>10</v>
      </c>
      <c r="B491" s="33">
        <f>(10+30)/2</f>
        <v>20</v>
      </c>
      <c r="C491" s="22" t="s">
        <v>731</v>
      </c>
      <c r="D491" s="32">
        <f t="shared" si="31"/>
        <v>20</v>
      </c>
      <c r="E491" s="25">
        <v>1</v>
      </c>
      <c r="F491" s="21" t="s">
        <v>716</v>
      </c>
      <c r="G491" s="21" t="s">
        <v>731</v>
      </c>
      <c r="H491" s="23" t="s">
        <v>725</v>
      </c>
      <c r="I491" s="21" t="s">
        <v>743</v>
      </c>
      <c r="J491" s="21" t="s">
        <v>742</v>
      </c>
      <c r="K491" s="21" t="s">
        <v>889</v>
      </c>
      <c r="L491" s="21"/>
      <c r="M491" s="21" t="s">
        <v>890</v>
      </c>
      <c r="N491" s="98"/>
      <c r="O491" s="98"/>
      <c r="P491" s="98"/>
      <c r="Q491" s="87"/>
      <c r="R491" s="87"/>
      <c r="S491" s="87"/>
      <c r="T491" s="87"/>
      <c r="U491" s="87"/>
      <c r="V491" s="87"/>
      <c r="W491" s="87"/>
    </row>
    <row r="492" spans="1:23" x14ac:dyDescent="0.25">
      <c r="A492" s="23" t="s">
        <v>10</v>
      </c>
      <c r="B492" s="22" t="s">
        <v>731</v>
      </c>
      <c r="C492" s="22" t="s">
        <v>731</v>
      </c>
      <c r="D492" s="22" t="s">
        <v>731</v>
      </c>
      <c r="E492" s="58">
        <v>14</v>
      </c>
      <c r="F492" s="23" t="s">
        <v>15</v>
      </c>
      <c r="G492" s="23" t="s">
        <v>218</v>
      </c>
      <c r="H492" s="23" t="s">
        <v>13</v>
      </c>
      <c r="I492" s="23" t="s">
        <v>14</v>
      </c>
      <c r="J492" s="65" t="s">
        <v>1162</v>
      </c>
      <c r="K492" s="21" t="s">
        <v>222</v>
      </c>
      <c r="L492" s="21" t="s">
        <v>818</v>
      </c>
      <c r="M492" s="21"/>
      <c r="N492" s="87"/>
      <c r="O492" s="87"/>
      <c r="P492" s="87"/>
      <c r="Q492" s="89">
        <v>50.9</v>
      </c>
      <c r="R492" s="87"/>
      <c r="S492" s="87"/>
      <c r="T492" s="87"/>
      <c r="U492" s="87"/>
      <c r="V492" s="87"/>
      <c r="W492" s="87"/>
    </row>
    <row r="493" spans="1:23" x14ac:dyDescent="0.25">
      <c r="A493" s="23" t="s">
        <v>10</v>
      </c>
      <c r="B493" s="22" t="s">
        <v>731</v>
      </c>
      <c r="C493" s="22" t="s">
        <v>731</v>
      </c>
      <c r="D493" s="22" t="s">
        <v>731</v>
      </c>
      <c r="E493" s="58">
        <v>14</v>
      </c>
      <c r="F493" s="23" t="s">
        <v>15</v>
      </c>
      <c r="G493" s="23" t="s">
        <v>218</v>
      </c>
      <c r="H493" s="23" t="s">
        <v>13</v>
      </c>
      <c r="I493" s="23" t="s">
        <v>14</v>
      </c>
      <c r="J493" s="65" t="s">
        <v>1162</v>
      </c>
      <c r="K493" s="21" t="s">
        <v>222</v>
      </c>
      <c r="L493" s="21" t="s">
        <v>818</v>
      </c>
      <c r="M493" s="21"/>
      <c r="N493" s="87"/>
      <c r="O493" s="87"/>
      <c r="P493" s="87"/>
      <c r="Q493" s="89">
        <v>40</v>
      </c>
      <c r="R493" s="87"/>
      <c r="S493" s="87"/>
      <c r="T493" s="87"/>
      <c r="U493" s="87"/>
      <c r="V493" s="87"/>
      <c r="W493" s="87"/>
    </row>
    <row r="494" spans="1:23" x14ac:dyDescent="0.25">
      <c r="A494" s="23" t="s">
        <v>10</v>
      </c>
      <c r="B494" s="32">
        <v>19.8</v>
      </c>
      <c r="C494" s="22" t="s">
        <v>731</v>
      </c>
      <c r="D494" s="32">
        <f t="shared" si="31"/>
        <v>19.8</v>
      </c>
      <c r="E494" s="58">
        <v>6</v>
      </c>
      <c r="F494" s="23" t="s">
        <v>15</v>
      </c>
      <c r="G494" s="23" t="s">
        <v>218</v>
      </c>
      <c r="H494" s="23" t="s">
        <v>13</v>
      </c>
      <c r="I494" s="23" t="s">
        <v>38</v>
      </c>
      <c r="J494" s="65" t="s">
        <v>1162</v>
      </c>
      <c r="K494" s="21" t="s">
        <v>222</v>
      </c>
      <c r="L494" s="21" t="s">
        <v>818</v>
      </c>
      <c r="M494" s="21"/>
      <c r="N494" s="89"/>
      <c r="O494" s="89"/>
      <c r="P494" s="89"/>
      <c r="Q494" s="87"/>
      <c r="R494" s="87"/>
      <c r="S494" s="87"/>
      <c r="T494" s="87"/>
      <c r="U494" s="87"/>
      <c r="V494" s="87"/>
      <c r="W494" s="87"/>
    </row>
    <row r="495" spans="1:23" x14ac:dyDescent="0.25">
      <c r="A495" s="23" t="s">
        <v>10</v>
      </c>
      <c r="B495" s="32">
        <v>14.9</v>
      </c>
      <c r="C495" s="22" t="s">
        <v>731</v>
      </c>
      <c r="D495" s="32">
        <f t="shared" si="31"/>
        <v>14.9</v>
      </c>
      <c r="E495" s="58">
        <v>7</v>
      </c>
      <c r="F495" s="23" t="s">
        <v>12</v>
      </c>
      <c r="G495" s="23" t="s">
        <v>218</v>
      </c>
      <c r="H495" s="23" t="s">
        <v>13</v>
      </c>
      <c r="I495" s="23" t="s">
        <v>43</v>
      </c>
      <c r="J495" s="65" t="s">
        <v>1162</v>
      </c>
      <c r="K495" s="21" t="s">
        <v>222</v>
      </c>
      <c r="L495" s="21" t="s">
        <v>818</v>
      </c>
      <c r="M495" s="21"/>
      <c r="N495" s="89"/>
      <c r="O495" s="89"/>
      <c r="P495" s="89"/>
      <c r="Q495" s="87"/>
      <c r="R495" s="87"/>
      <c r="S495" s="87"/>
      <c r="T495" s="87"/>
      <c r="U495" s="87"/>
      <c r="V495" s="87"/>
      <c r="W495" s="87"/>
    </row>
    <row r="496" spans="1:23" x14ac:dyDescent="0.25">
      <c r="A496" s="23" t="s">
        <v>10</v>
      </c>
      <c r="B496" s="44">
        <v>12.8</v>
      </c>
      <c r="C496" s="22" t="s">
        <v>731</v>
      </c>
      <c r="D496" s="32">
        <f t="shared" si="31"/>
        <v>12.8</v>
      </c>
      <c r="E496" s="58">
        <v>8</v>
      </c>
      <c r="F496" s="23" t="s">
        <v>12</v>
      </c>
      <c r="G496" s="23" t="s">
        <v>218</v>
      </c>
      <c r="H496" s="23" t="s">
        <v>13</v>
      </c>
      <c r="I496" s="23" t="s">
        <v>42</v>
      </c>
      <c r="J496" s="65" t="s">
        <v>1162</v>
      </c>
      <c r="K496" s="21" t="s">
        <v>222</v>
      </c>
      <c r="L496" s="21" t="s">
        <v>818</v>
      </c>
      <c r="M496" s="21"/>
      <c r="N496" s="95"/>
      <c r="O496" s="95"/>
      <c r="P496" s="95"/>
      <c r="Q496" s="89">
        <v>46.2</v>
      </c>
      <c r="R496" s="87"/>
      <c r="S496" s="89">
        <v>7</v>
      </c>
      <c r="T496" s="87"/>
      <c r="U496" s="87"/>
      <c r="V496" s="87"/>
      <c r="W496" s="87"/>
    </row>
    <row r="497" spans="1:23" x14ac:dyDescent="0.25">
      <c r="A497" s="23" t="s">
        <v>10</v>
      </c>
      <c r="B497" s="44">
        <v>10.5</v>
      </c>
      <c r="C497" s="22" t="s">
        <v>731</v>
      </c>
      <c r="D497" s="32">
        <f t="shared" si="31"/>
        <v>10.5</v>
      </c>
      <c r="E497" s="58">
        <v>8</v>
      </c>
      <c r="F497" s="23" t="s">
        <v>12</v>
      </c>
      <c r="G497" s="23" t="s">
        <v>218</v>
      </c>
      <c r="H497" s="23" t="s">
        <v>13</v>
      </c>
      <c r="I497" s="23" t="s">
        <v>42</v>
      </c>
      <c r="J497" s="65" t="s">
        <v>1162</v>
      </c>
      <c r="K497" s="21" t="s">
        <v>222</v>
      </c>
      <c r="L497" s="21" t="s">
        <v>818</v>
      </c>
      <c r="M497" s="21"/>
      <c r="N497" s="95"/>
      <c r="O497" s="95"/>
      <c r="P497" s="95"/>
      <c r="Q497" s="89">
        <v>21.3</v>
      </c>
      <c r="R497" s="87"/>
      <c r="S497" s="87"/>
      <c r="T497" s="87"/>
      <c r="U497" s="87"/>
      <c r="V497" s="87"/>
      <c r="W497" s="87"/>
    </row>
    <row r="498" spans="1:23" x14ac:dyDescent="0.25">
      <c r="A498" s="23" t="s">
        <v>10</v>
      </c>
      <c r="B498" s="22">
        <f>0.8*0.3*100</f>
        <v>24</v>
      </c>
      <c r="C498" s="22">
        <v>20</v>
      </c>
      <c r="D498" s="22">
        <f>SUM(B498:C498)</f>
        <v>44</v>
      </c>
      <c r="E498" s="25">
        <v>1</v>
      </c>
      <c r="F498" s="21" t="s">
        <v>716</v>
      </c>
      <c r="G498" s="21" t="s">
        <v>731</v>
      </c>
      <c r="H498" s="23" t="s">
        <v>725</v>
      </c>
      <c r="I498" s="21" t="s">
        <v>746</v>
      </c>
      <c r="J498" s="21" t="s">
        <v>745</v>
      </c>
      <c r="K498" s="21" t="s">
        <v>894</v>
      </c>
      <c r="L498" s="25" t="s">
        <v>770</v>
      </c>
      <c r="M498" s="21" t="s">
        <v>901</v>
      </c>
      <c r="N498" s="87"/>
      <c r="O498" s="87"/>
      <c r="P498" s="87"/>
      <c r="Q498" s="87"/>
      <c r="R498" s="87"/>
      <c r="S498" s="87"/>
      <c r="T498" s="87"/>
      <c r="U498" s="87"/>
      <c r="V498" s="87"/>
      <c r="W498" s="87"/>
    </row>
    <row r="499" spans="1:23" x14ac:dyDescent="0.25">
      <c r="A499" s="23" t="s">
        <v>10</v>
      </c>
      <c r="B499" s="22">
        <v>20</v>
      </c>
      <c r="C499" s="22" t="s">
        <v>731</v>
      </c>
      <c r="D499" s="32">
        <f t="shared" si="31"/>
        <v>20</v>
      </c>
      <c r="E499" s="25">
        <v>1</v>
      </c>
      <c r="F499" s="21" t="s">
        <v>716</v>
      </c>
      <c r="G499" s="21" t="s">
        <v>731</v>
      </c>
      <c r="H499" s="23" t="s">
        <v>725</v>
      </c>
      <c r="I499" s="21" t="s">
        <v>749</v>
      </c>
      <c r="J499" s="21" t="s">
        <v>748</v>
      </c>
      <c r="K499" s="21" t="s">
        <v>764</v>
      </c>
      <c r="L499" s="21"/>
      <c r="M499" s="21" t="s">
        <v>747</v>
      </c>
      <c r="N499" s="87"/>
      <c r="O499" s="87"/>
      <c r="P499" s="87"/>
      <c r="Q499" s="87"/>
      <c r="R499" s="87"/>
      <c r="S499" s="87"/>
      <c r="T499" s="87"/>
      <c r="U499" s="87"/>
      <c r="V499" s="87"/>
      <c r="W499" s="87"/>
    </row>
    <row r="500" spans="1:23" x14ac:dyDescent="0.25">
      <c r="A500" s="23" t="s">
        <v>10</v>
      </c>
      <c r="B500" s="32">
        <v>9.5</v>
      </c>
      <c r="C500" s="22" t="s">
        <v>731</v>
      </c>
      <c r="D500" s="32">
        <f t="shared" si="31"/>
        <v>9.5</v>
      </c>
      <c r="E500" s="58">
        <v>3</v>
      </c>
      <c r="F500" s="23" t="s">
        <v>36</v>
      </c>
      <c r="G500" s="23" t="s">
        <v>37</v>
      </c>
      <c r="H500" s="23" t="s">
        <v>13</v>
      </c>
      <c r="I500" s="23" t="s">
        <v>35</v>
      </c>
      <c r="J500" s="65" t="s">
        <v>1162</v>
      </c>
      <c r="K500" s="21" t="s">
        <v>222</v>
      </c>
      <c r="L500" s="21" t="s">
        <v>818</v>
      </c>
      <c r="M500" s="21"/>
      <c r="N500" s="89"/>
      <c r="O500" s="89"/>
      <c r="P500" s="89"/>
      <c r="Q500" s="87"/>
      <c r="R500" s="87"/>
      <c r="S500" s="87"/>
      <c r="T500" s="87"/>
      <c r="U500" s="87"/>
      <c r="V500" s="87"/>
      <c r="W500" s="87"/>
    </row>
    <row r="501" spans="1:23" x14ac:dyDescent="0.25">
      <c r="A501" s="23" t="s">
        <v>10</v>
      </c>
      <c r="B501" s="32">
        <v>18.7</v>
      </c>
      <c r="C501" s="22" t="s">
        <v>731</v>
      </c>
      <c r="D501" s="32">
        <f t="shared" si="31"/>
        <v>18.7</v>
      </c>
      <c r="E501" s="58">
        <v>2</v>
      </c>
      <c r="F501" s="23" t="s">
        <v>36</v>
      </c>
      <c r="G501" s="23" t="s">
        <v>37</v>
      </c>
      <c r="H501" s="23" t="s">
        <v>13</v>
      </c>
      <c r="I501" s="23" t="s">
        <v>35</v>
      </c>
      <c r="J501" s="65" t="s">
        <v>1162</v>
      </c>
      <c r="K501" s="21" t="s">
        <v>222</v>
      </c>
      <c r="L501" s="21" t="s">
        <v>818</v>
      </c>
      <c r="M501" s="21"/>
      <c r="N501" s="89"/>
      <c r="O501" s="89"/>
      <c r="P501" s="89"/>
      <c r="Q501" s="87"/>
      <c r="R501" s="87"/>
      <c r="S501" s="87"/>
      <c r="T501" s="87"/>
      <c r="U501" s="87"/>
      <c r="V501" s="87"/>
      <c r="W501" s="87"/>
    </row>
    <row r="502" spans="1:23" x14ac:dyDescent="0.25">
      <c r="A502" s="23" t="s">
        <v>10</v>
      </c>
      <c r="B502" s="32">
        <v>28.3</v>
      </c>
      <c r="C502" s="22" t="s">
        <v>731</v>
      </c>
      <c r="D502" s="32">
        <f t="shared" si="31"/>
        <v>28.3</v>
      </c>
      <c r="E502" s="58">
        <v>3</v>
      </c>
      <c r="F502" s="23" t="s">
        <v>36</v>
      </c>
      <c r="G502" s="23" t="s">
        <v>218</v>
      </c>
      <c r="H502" s="23" t="s">
        <v>13</v>
      </c>
      <c r="I502" s="23" t="s">
        <v>35</v>
      </c>
      <c r="J502" s="65" t="s">
        <v>1162</v>
      </c>
      <c r="K502" s="21" t="s">
        <v>222</v>
      </c>
      <c r="L502" s="21" t="s">
        <v>818</v>
      </c>
      <c r="M502" s="21"/>
      <c r="N502" s="89"/>
      <c r="O502" s="89"/>
      <c r="P502" s="89"/>
      <c r="Q502" s="87"/>
      <c r="R502" s="87"/>
      <c r="S502" s="87"/>
      <c r="T502" s="87"/>
      <c r="U502" s="87"/>
      <c r="V502" s="87"/>
      <c r="W502" s="87"/>
    </row>
    <row r="503" spans="1:23" x14ac:dyDescent="0.25">
      <c r="A503" s="23" t="s">
        <v>10</v>
      </c>
      <c r="B503" s="32">
        <v>3.5</v>
      </c>
      <c r="C503" s="22" t="s">
        <v>731</v>
      </c>
      <c r="D503" s="32">
        <f t="shared" si="31"/>
        <v>3.5</v>
      </c>
      <c r="E503" s="58">
        <v>3</v>
      </c>
      <c r="F503" s="23" t="s">
        <v>12</v>
      </c>
      <c r="G503" s="23" t="s">
        <v>218</v>
      </c>
      <c r="H503" s="23" t="s">
        <v>13</v>
      </c>
      <c r="I503" s="23" t="s">
        <v>32</v>
      </c>
      <c r="J503" s="65" t="s">
        <v>1162</v>
      </c>
      <c r="K503" s="21" t="s">
        <v>222</v>
      </c>
      <c r="L503" s="21" t="s">
        <v>818</v>
      </c>
      <c r="M503" s="21"/>
      <c r="N503" s="89"/>
      <c r="O503" s="89"/>
      <c r="P503" s="89"/>
      <c r="Q503" s="89">
        <v>28.8</v>
      </c>
      <c r="R503" s="87"/>
      <c r="S503" s="87"/>
      <c r="T503" s="87"/>
      <c r="U503" s="87"/>
      <c r="V503" s="87"/>
      <c r="W503" s="87"/>
    </row>
    <row r="504" spans="1:23" x14ac:dyDescent="0.25">
      <c r="A504" s="23" t="s">
        <v>10</v>
      </c>
      <c r="B504" s="32">
        <v>10.8</v>
      </c>
      <c r="C504" s="22" t="s">
        <v>731</v>
      </c>
      <c r="D504" s="32">
        <f t="shared" si="31"/>
        <v>10.8</v>
      </c>
      <c r="E504" s="58">
        <v>8</v>
      </c>
      <c r="F504" s="23" t="s">
        <v>15</v>
      </c>
      <c r="G504" s="23" t="s">
        <v>218</v>
      </c>
      <c r="H504" s="23" t="s">
        <v>13</v>
      </c>
      <c r="I504" s="23" t="s">
        <v>16</v>
      </c>
      <c r="J504" s="65" t="s">
        <v>1162</v>
      </c>
      <c r="K504" s="21" t="s">
        <v>222</v>
      </c>
      <c r="L504" s="21" t="s">
        <v>818</v>
      </c>
      <c r="M504" s="21"/>
      <c r="N504" s="89"/>
      <c r="O504" s="89"/>
      <c r="P504" s="89"/>
      <c r="Q504" s="87"/>
      <c r="R504" s="87"/>
      <c r="S504" s="87"/>
      <c r="T504" s="87"/>
      <c r="U504" s="87"/>
      <c r="V504" s="87"/>
      <c r="W504" s="87"/>
    </row>
    <row r="505" spans="1:23" x14ac:dyDescent="0.25">
      <c r="A505" s="23" t="s">
        <v>10</v>
      </c>
      <c r="B505" s="32">
        <v>15.1</v>
      </c>
      <c r="C505" s="22" t="s">
        <v>731</v>
      </c>
      <c r="D505" s="32">
        <f t="shared" si="31"/>
        <v>15.1</v>
      </c>
      <c r="E505" s="58">
        <v>10</v>
      </c>
      <c r="F505" s="23" t="s">
        <v>15</v>
      </c>
      <c r="G505" s="23" t="s">
        <v>218</v>
      </c>
      <c r="H505" s="23" t="s">
        <v>13</v>
      </c>
      <c r="I505" s="23" t="s">
        <v>16</v>
      </c>
      <c r="J505" s="65" t="s">
        <v>1162</v>
      </c>
      <c r="K505" s="21" t="s">
        <v>222</v>
      </c>
      <c r="L505" s="21" t="s">
        <v>818</v>
      </c>
      <c r="M505" s="21"/>
      <c r="N505" s="89"/>
      <c r="O505" s="89"/>
      <c r="P505" s="89"/>
      <c r="Q505" s="87"/>
      <c r="R505" s="87"/>
      <c r="S505" s="87"/>
      <c r="T505" s="87"/>
      <c r="U505" s="87"/>
      <c r="V505" s="87"/>
      <c r="W505" s="87"/>
    </row>
    <row r="506" spans="1:23" x14ac:dyDescent="0.25">
      <c r="A506" s="23" t="s">
        <v>10</v>
      </c>
      <c r="B506" s="37">
        <v>11</v>
      </c>
      <c r="C506" s="22" t="s">
        <v>731</v>
      </c>
      <c r="D506" s="32">
        <f t="shared" si="31"/>
        <v>11</v>
      </c>
      <c r="E506" s="58">
        <v>12</v>
      </c>
      <c r="F506" s="23" t="s">
        <v>12</v>
      </c>
      <c r="G506" s="23" t="s">
        <v>218</v>
      </c>
      <c r="H506" s="23" t="s">
        <v>13</v>
      </c>
      <c r="I506" s="23" t="s">
        <v>26</v>
      </c>
      <c r="J506" s="65" t="s">
        <v>1162</v>
      </c>
      <c r="K506" s="21" t="s">
        <v>222</v>
      </c>
      <c r="L506" s="21" t="s">
        <v>818</v>
      </c>
      <c r="M506" s="21"/>
      <c r="N506" s="90"/>
      <c r="O506" s="90"/>
      <c r="P506" s="90"/>
      <c r="Q506" s="90">
        <v>44</v>
      </c>
      <c r="R506" s="87"/>
      <c r="S506" s="87"/>
      <c r="T506" s="87"/>
      <c r="U506" s="87"/>
      <c r="V506" s="87"/>
      <c r="W506" s="87"/>
    </row>
    <row r="507" spans="1:23" x14ac:dyDescent="0.25">
      <c r="A507" s="23" t="s">
        <v>10</v>
      </c>
      <c r="B507" s="37">
        <v>9.5</v>
      </c>
      <c r="C507" s="22" t="s">
        <v>731</v>
      </c>
      <c r="D507" s="32">
        <f t="shared" si="31"/>
        <v>9.5</v>
      </c>
      <c r="E507" s="58">
        <v>6</v>
      </c>
      <c r="F507" s="23" t="s">
        <v>12</v>
      </c>
      <c r="G507" s="23" t="s">
        <v>218</v>
      </c>
      <c r="H507" s="23" t="s">
        <v>13</v>
      </c>
      <c r="I507" s="23" t="s">
        <v>24</v>
      </c>
      <c r="J507" s="65" t="s">
        <v>1162</v>
      </c>
      <c r="K507" s="21" t="s">
        <v>222</v>
      </c>
      <c r="L507" s="21" t="s">
        <v>818</v>
      </c>
      <c r="M507" s="21"/>
      <c r="N507" s="90"/>
      <c r="O507" s="90"/>
      <c r="P507" s="90"/>
      <c r="Q507" s="90">
        <v>20.9</v>
      </c>
      <c r="R507" s="87"/>
      <c r="S507" s="87"/>
      <c r="T507" s="87"/>
      <c r="U507" s="87"/>
      <c r="V507" s="87"/>
      <c r="W507" s="87"/>
    </row>
    <row r="508" spans="1:23" x14ac:dyDescent="0.25">
      <c r="A508" s="23" t="s">
        <v>10</v>
      </c>
      <c r="B508" s="32">
        <v>16.5</v>
      </c>
      <c r="C508" s="22" t="s">
        <v>731</v>
      </c>
      <c r="D508" s="32">
        <f t="shared" si="31"/>
        <v>16.5</v>
      </c>
      <c r="E508" s="58">
        <v>6</v>
      </c>
      <c r="F508" s="23" t="s">
        <v>12</v>
      </c>
      <c r="G508" s="23" t="s">
        <v>218</v>
      </c>
      <c r="H508" s="23" t="s">
        <v>13</v>
      </c>
      <c r="I508" s="23" t="s">
        <v>21</v>
      </c>
      <c r="J508" s="65" t="s">
        <v>1162</v>
      </c>
      <c r="K508" s="21" t="s">
        <v>222</v>
      </c>
      <c r="L508" s="21" t="s">
        <v>818</v>
      </c>
      <c r="M508" s="21"/>
      <c r="N508" s="89"/>
      <c r="O508" s="89"/>
      <c r="P508" s="89"/>
      <c r="Q508" s="89">
        <v>46.2</v>
      </c>
      <c r="R508" s="87"/>
      <c r="S508" s="87"/>
      <c r="T508" s="89">
        <v>2.4</v>
      </c>
      <c r="U508" s="87"/>
      <c r="V508" s="87"/>
      <c r="W508" s="87"/>
    </row>
    <row r="509" spans="1:23" x14ac:dyDescent="0.25">
      <c r="A509" s="23" t="s">
        <v>10</v>
      </c>
      <c r="B509" s="44">
        <v>14.6</v>
      </c>
      <c r="C509" s="22" t="s">
        <v>731</v>
      </c>
      <c r="D509" s="32">
        <f t="shared" si="31"/>
        <v>14.6</v>
      </c>
      <c r="E509" s="58">
        <v>7</v>
      </c>
      <c r="F509" s="23" t="s">
        <v>12</v>
      </c>
      <c r="G509" s="23" t="s">
        <v>218</v>
      </c>
      <c r="H509" s="23" t="s">
        <v>13</v>
      </c>
      <c r="I509" s="23" t="s">
        <v>18</v>
      </c>
      <c r="J509" s="65" t="s">
        <v>1162</v>
      </c>
      <c r="K509" s="21" t="s">
        <v>222</v>
      </c>
      <c r="L509" s="21" t="s">
        <v>818</v>
      </c>
      <c r="M509" s="21"/>
      <c r="N509" s="95"/>
      <c r="O509" s="95"/>
      <c r="P509" s="95"/>
      <c r="Q509" s="89">
        <v>43.2</v>
      </c>
      <c r="R509" s="89">
        <v>9.6999999999999993</v>
      </c>
      <c r="S509" s="89">
        <v>3.4</v>
      </c>
      <c r="T509" s="87"/>
      <c r="U509" s="87"/>
      <c r="V509" s="87"/>
      <c r="W509" s="87"/>
    </row>
    <row r="510" spans="1:23" x14ac:dyDescent="0.25">
      <c r="A510" s="23" t="s">
        <v>10</v>
      </c>
      <c r="B510" s="44">
        <v>12.7</v>
      </c>
      <c r="C510" s="22" t="s">
        <v>731</v>
      </c>
      <c r="D510" s="32">
        <f t="shared" si="31"/>
        <v>12.7</v>
      </c>
      <c r="E510" s="58">
        <v>7</v>
      </c>
      <c r="F510" s="23" t="s">
        <v>15</v>
      </c>
      <c r="G510" s="23" t="s">
        <v>218</v>
      </c>
      <c r="H510" s="23" t="s">
        <v>13</v>
      </c>
      <c r="I510" s="23" t="s">
        <v>18</v>
      </c>
      <c r="J510" s="65" t="s">
        <v>1162</v>
      </c>
      <c r="K510" s="21" t="s">
        <v>222</v>
      </c>
      <c r="L510" s="21" t="s">
        <v>818</v>
      </c>
      <c r="M510" s="21"/>
      <c r="N510" s="95"/>
      <c r="O510" s="95"/>
      <c r="P510" s="95"/>
      <c r="Q510" s="89">
        <v>50.3</v>
      </c>
      <c r="R510" s="89">
        <v>12.7</v>
      </c>
      <c r="S510" s="89">
        <v>3.2</v>
      </c>
      <c r="T510" s="87"/>
      <c r="U510" s="87"/>
      <c r="V510" s="87"/>
      <c r="W510" s="87"/>
    </row>
    <row r="511" spans="1:23" x14ac:dyDescent="0.25">
      <c r="A511" s="23" t="s">
        <v>10</v>
      </c>
      <c r="B511" s="32">
        <v>12</v>
      </c>
      <c r="C511" s="22" t="s">
        <v>731</v>
      </c>
      <c r="D511" s="32">
        <f t="shared" si="31"/>
        <v>12</v>
      </c>
      <c r="E511" s="58">
        <v>6</v>
      </c>
      <c r="F511" s="23" t="s">
        <v>12</v>
      </c>
      <c r="G511" s="23" t="s">
        <v>218</v>
      </c>
      <c r="H511" s="23" t="s">
        <v>13</v>
      </c>
      <c r="I511" s="23" t="s">
        <v>31</v>
      </c>
      <c r="J511" s="65" t="s">
        <v>1162</v>
      </c>
      <c r="K511" s="21" t="s">
        <v>222</v>
      </c>
      <c r="L511" s="21" t="s">
        <v>818</v>
      </c>
      <c r="M511" s="21"/>
      <c r="N511" s="89"/>
      <c r="O511" s="89"/>
      <c r="P511" s="89"/>
      <c r="Q511" s="89">
        <v>48</v>
      </c>
      <c r="R511" s="87"/>
      <c r="S511" s="87"/>
      <c r="T511" s="87"/>
      <c r="U511" s="87"/>
      <c r="V511" s="87"/>
      <c r="W511" s="87"/>
    </row>
    <row r="512" spans="1:23" x14ac:dyDescent="0.25">
      <c r="A512" s="23" t="s">
        <v>10</v>
      </c>
      <c r="B512" s="45">
        <v>5</v>
      </c>
      <c r="C512" s="22" t="s">
        <v>731</v>
      </c>
      <c r="D512" s="32">
        <f t="shared" si="31"/>
        <v>5</v>
      </c>
      <c r="E512" s="58">
        <v>6</v>
      </c>
      <c r="F512" s="23" t="s">
        <v>12</v>
      </c>
      <c r="G512" s="23" t="s">
        <v>218</v>
      </c>
      <c r="H512" s="23" t="s">
        <v>13</v>
      </c>
      <c r="I512" s="23" t="s">
        <v>31</v>
      </c>
      <c r="J512" s="65" t="s">
        <v>1162</v>
      </c>
      <c r="K512" s="21" t="s">
        <v>222</v>
      </c>
      <c r="L512" s="21" t="s">
        <v>818</v>
      </c>
      <c r="M512" s="21"/>
      <c r="N512" s="96"/>
      <c r="O512" s="96"/>
      <c r="P512" s="96"/>
      <c r="Q512" s="96">
        <v>31</v>
      </c>
      <c r="R512" s="87"/>
      <c r="S512" s="87"/>
      <c r="T512" s="87"/>
      <c r="U512" s="87"/>
      <c r="V512" s="87"/>
      <c r="W512" s="87"/>
    </row>
    <row r="513" spans="1:23" x14ac:dyDescent="0.25">
      <c r="A513" s="23" t="s">
        <v>10</v>
      </c>
      <c r="B513" s="22">
        <v>30</v>
      </c>
      <c r="C513" s="22" t="s">
        <v>731</v>
      </c>
      <c r="D513" s="32">
        <f t="shared" si="31"/>
        <v>30</v>
      </c>
      <c r="E513" s="25">
        <v>1</v>
      </c>
      <c r="F513" s="21" t="s">
        <v>716</v>
      </c>
      <c r="G513" s="21" t="s">
        <v>731</v>
      </c>
      <c r="H513" s="23" t="s">
        <v>725</v>
      </c>
      <c r="I513" s="21" t="s">
        <v>794</v>
      </c>
      <c r="J513" s="21" t="s">
        <v>802</v>
      </c>
      <c r="K513" s="21" t="s">
        <v>971</v>
      </c>
      <c r="L513" s="21" t="s">
        <v>802</v>
      </c>
      <c r="M513" s="21" t="s">
        <v>973</v>
      </c>
      <c r="N513" s="87"/>
      <c r="O513" s="87"/>
      <c r="P513" s="87"/>
      <c r="Q513" s="87"/>
      <c r="R513" s="87"/>
      <c r="S513" s="87"/>
      <c r="T513" s="87"/>
      <c r="U513" s="87"/>
      <c r="V513" s="87"/>
      <c r="W513" s="87"/>
    </row>
    <row r="514" spans="1:23" x14ac:dyDescent="0.25">
      <c r="A514" s="23" t="s">
        <v>10</v>
      </c>
      <c r="B514" s="32">
        <v>26.5</v>
      </c>
      <c r="C514" s="22" t="s">
        <v>731</v>
      </c>
      <c r="D514" s="32">
        <f t="shared" si="31"/>
        <v>26.5</v>
      </c>
      <c r="E514" s="58">
        <v>10</v>
      </c>
      <c r="F514" s="23" t="s">
        <v>12</v>
      </c>
      <c r="G514" s="23" t="s">
        <v>218</v>
      </c>
      <c r="H514" s="23" t="s">
        <v>13</v>
      </c>
      <c r="I514" s="23" t="s">
        <v>44</v>
      </c>
      <c r="J514" s="65" t="s">
        <v>1162</v>
      </c>
      <c r="K514" s="21" t="s">
        <v>222</v>
      </c>
      <c r="L514" s="21" t="s">
        <v>818</v>
      </c>
      <c r="M514" s="21"/>
      <c r="N514" s="89"/>
      <c r="O514" s="89"/>
      <c r="P514" s="89"/>
      <c r="Q514" s="89">
        <v>45.9</v>
      </c>
      <c r="R514" s="87"/>
      <c r="S514" s="87"/>
      <c r="T514" s="87"/>
      <c r="U514" s="87"/>
      <c r="V514" s="87"/>
      <c r="W514" s="87"/>
    </row>
    <row r="515" spans="1:23" x14ac:dyDescent="0.25">
      <c r="A515" s="23" t="s">
        <v>10</v>
      </c>
      <c r="B515" s="32">
        <v>35</v>
      </c>
      <c r="C515" s="22" t="s">
        <v>731</v>
      </c>
      <c r="D515" s="32">
        <f t="shared" si="31"/>
        <v>35</v>
      </c>
      <c r="E515" s="58">
        <v>10</v>
      </c>
      <c r="F515" s="23" t="s">
        <v>12</v>
      </c>
      <c r="G515" s="23" t="s">
        <v>218</v>
      </c>
      <c r="H515" s="23" t="s">
        <v>13</v>
      </c>
      <c r="I515" s="23" t="s">
        <v>45</v>
      </c>
      <c r="J515" s="65" t="s">
        <v>1162</v>
      </c>
      <c r="K515" s="21" t="s">
        <v>222</v>
      </c>
      <c r="L515" s="21" t="s">
        <v>818</v>
      </c>
      <c r="M515" s="21"/>
      <c r="N515" s="89"/>
      <c r="O515" s="89"/>
      <c r="P515" s="89"/>
      <c r="Q515" s="89">
        <v>42.8</v>
      </c>
      <c r="R515" s="87"/>
      <c r="S515" s="87"/>
      <c r="T515" s="87"/>
      <c r="U515" s="87"/>
      <c r="V515" s="87"/>
      <c r="W515" s="87"/>
    </row>
    <row r="516" spans="1:23" x14ac:dyDescent="0.25">
      <c r="A516" s="23" t="s">
        <v>10</v>
      </c>
      <c r="B516" s="32">
        <v>7.1</v>
      </c>
      <c r="C516" s="22" t="s">
        <v>731</v>
      </c>
      <c r="D516" s="32">
        <f t="shared" si="31"/>
        <v>7.1</v>
      </c>
      <c r="E516" s="58">
        <v>5</v>
      </c>
      <c r="F516" s="23" t="s">
        <v>12</v>
      </c>
      <c r="G516" s="23" t="s">
        <v>218</v>
      </c>
      <c r="H516" s="23" t="s">
        <v>13</v>
      </c>
      <c r="I516" s="23" t="s">
        <v>45</v>
      </c>
      <c r="J516" s="65" t="s">
        <v>1162</v>
      </c>
      <c r="K516" s="21" t="s">
        <v>222</v>
      </c>
      <c r="L516" s="21" t="s">
        <v>818</v>
      </c>
      <c r="M516" s="21"/>
      <c r="N516" s="89"/>
      <c r="O516" s="89"/>
      <c r="P516" s="89"/>
      <c r="Q516" s="89">
        <v>44</v>
      </c>
      <c r="R516" s="87"/>
      <c r="S516" s="87"/>
      <c r="T516" s="87"/>
      <c r="U516" s="87"/>
      <c r="V516" s="87"/>
      <c r="W516" s="87"/>
    </row>
    <row r="517" spans="1:23" x14ac:dyDescent="0.25">
      <c r="A517" s="23" t="s">
        <v>10</v>
      </c>
      <c r="B517" s="32">
        <v>20.9</v>
      </c>
      <c r="C517" s="22" t="s">
        <v>731</v>
      </c>
      <c r="D517" s="32">
        <f t="shared" si="31"/>
        <v>20.9</v>
      </c>
      <c r="E517" s="58">
        <v>5</v>
      </c>
      <c r="F517" s="23" t="s">
        <v>12</v>
      </c>
      <c r="G517" s="23" t="s">
        <v>218</v>
      </c>
      <c r="H517" s="23" t="s">
        <v>13</v>
      </c>
      <c r="I517" s="23" t="s">
        <v>39</v>
      </c>
      <c r="J517" s="65" t="s">
        <v>1162</v>
      </c>
      <c r="K517" s="21" t="s">
        <v>222</v>
      </c>
      <c r="L517" s="21" t="s">
        <v>818</v>
      </c>
      <c r="M517" s="21"/>
      <c r="N517" s="89"/>
      <c r="O517" s="89"/>
      <c r="P517" s="89"/>
      <c r="Q517" s="89">
        <v>48.2</v>
      </c>
      <c r="R517" s="87"/>
      <c r="S517" s="87"/>
      <c r="T517" s="87"/>
      <c r="U517" s="87"/>
      <c r="V517" s="87"/>
      <c r="W517" s="87"/>
    </row>
    <row r="518" spans="1:23" x14ac:dyDescent="0.25">
      <c r="A518" s="23" t="s">
        <v>10</v>
      </c>
      <c r="B518" s="44">
        <v>15.3</v>
      </c>
      <c r="C518" s="22" t="s">
        <v>731</v>
      </c>
      <c r="D518" s="32">
        <f t="shared" si="31"/>
        <v>15.3</v>
      </c>
      <c r="E518" s="58">
        <v>1</v>
      </c>
      <c r="F518" s="23" t="s">
        <v>12</v>
      </c>
      <c r="G518" s="23" t="s">
        <v>218</v>
      </c>
      <c r="H518" s="23" t="s">
        <v>13</v>
      </c>
      <c r="I518" s="23" t="s">
        <v>20</v>
      </c>
      <c r="J518" s="65" t="s">
        <v>1162</v>
      </c>
      <c r="K518" s="21" t="s">
        <v>222</v>
      </c>
      <c r="L518" s="21" t="s">
        <v>818</v>
      </c>
      <c r="M518" s="21"/>
      <c r="N518" s="95"/>
      <c r="O518" s="95"/>
      <c r="P518" s="95"/>
      <c r="Q518" s="89">
        <v>45.5</v>
      </c>
      <c r="R518" s="89">
        <v>8.4</v>
      </c>
      <c r="S518" s="89">
        <v>10.1</v>
      </c>
      <c r="T518" s="87"/>
      <c r="U518" s="87"/>
      <c r="V518" s="87"/>
      <c r="W518" s="87"/>
    </row>
    <row r="519" spans="1:23" x14ac:dyDescent="0.25">
      <c r="A519" s="23" t="s">
        <v>10</v>
      </c>
      <c r="B519" s="44">
        <v>14.4</v>
      </c>
      <c r="C519" s="22" t="s">
        <v>731</v>
      </c>
      <c r="D519" s="32">
        <f t="shared" si="31"/>
        <v>14.4</v>
      </c>
      <c r="E519" s="58">
        <v>7</v>
      </c>
      <c r="F519" s="23" t="s">
        <v>12</v>
      </c>
      <c r="G519" s="23" t="s">
        <v>218</v>
      </c>
      <c r="H519" s="23" t="s">
        <v>13</v>
      </c>
      <c r="I519" s="23" t="s">
        <v>19</v>
      </c>
      <c r="J519" s="65" t="s">
        <v>1162</v>
      </c>
      <c r="K519" s="21" t="s">
        <v>222</v>
      </c>
      <c r="L519" s="21" t="s">
        <v>818</v>
      </c>
      <c r="M519" s="21"/>
      <c r="N519" s="95"/>
      <c r="O519" s="95"/>
      <c r="P519" s="95"/>
      <c r="Q519" s="89">
        <v>43.5</v>
      </c>
      <c r="R519" s="89">
        <v>9.8000000000000007</v>
      </c>
      <c r="S519" s="89">
        <v>10.4</v>
      </c>
      <c r="T519" s="87"/>
      <c r="U519" s="87"/>
      <c r="V519" s="87"/>
      <c r="W519" s="87"/>
    </row>
    <row r="520" spans="1:23" x14ac:dyDescent="0.25">
      <c r="A520" s="23" t="s">
        <v>10</v>
      </c>
      <c r="B520" s="32">
        <v>13.1</v>
      </c>
      <c r="C520" s="22" t="s">
        <v>731</v>
      </c>
      <c r="D520" s="32">
        <f t="shared" si="31"/>
        <v>13.1</v>
      </c>
      <c r="E520" s="58">
        <v>10</v>
      </c>
      <c r="F520" s="23" t="s">
        <v>12</v>
      </c>
      <c r="G520" s="23" t="s">
        <v>218</v>
      </c>
      <c r="H520" s="23" t="s">
        <v>13</v>
      </c>
      <c r="I520" s="23" t="s">
        <v>33</v>
      </c>
      <c r="J520" s="65" t="s">
        <v>1162</v>
      </c>
      <c r="K520" s="21" t="s">
        <v>222</v>
      </c>
      <c r="L520" s="21" t="s">
        <v>818</v>
      </c>
      <c r="M520" s="21"/>
      <c r="N520" s="89"/>
      <c r="O520" s="89"/>
      <c r="P520" s="89"/>
      <c r="Q520" s="87"/>
      <c r="R520" s="87"/>
      <c r="S520" s="87"/>
      <c r="T520" s="87"/>
      <c r="U520" s="87"/>
      <c r="V520" s="87"/>
      <c r="W520" s="87"/>
    </row>
    <row r="521" spans="1:23" x14ac:dyDescent="0.25">
      <c r="A521" s="23" t="s">
        <v>10</v>
      </c>
      <c r="B521" s="57">
        <v>31</v>
      </c>
      <c r="C521" s="22" t="s">
        <v>731</v>
      </c>
      <c r="D521" s="32">
        <f t="shared" si="31"/>
        <v>31</v>
      </c>
      <c r="E521" s="58">
        <v>8</v>
      </c>
      <c r="F521" s="23" t="s">
        <v>12</v>
      </c>
      <c r="G521" s="23" t="s">
        <v>218</v>
      </c>
      <c r="H521" s="23" t="s">
        <v>13</v>
      </c>
      <c r="I521" s="23" t="s">
        <v>49</v>
      </c>
      <c r="J521" s="21" t="s">
        <v>784</v>
      </c>
      <c r="K521" s="21" t="s">
        <v>222</v>
      </c>
      <c r="L521" s="21" t="s">
        <v>818</v>
      </c>
      <c r="M521" s="21"/>
      <c r="N521" s="102"/>
      <c r="O521" s="102"/>
      <c r="P521" s="102"/>
      <c r="Q521" s="89">
        <v>39</v>
      </c>
      <c r="R521" s="87"/>
      <c r="S521" s="87"/>
      <c r="T521" s="87"/>
      <c r="U521" s="87"/>
      <c r="V521" s="87"/>
      <c r="W521" s="87"/>
    </row>
    <row r="522" spans="1:23" x14ac:dyDescent="0.25">
      <c r="A522" s="23" t="s">
        <v>10</v>
      </c>
      <c r="B522" s="57">
        <v>12.5</v>
      </c>
      <c r="C522" s="22" t="s">
        <v>731</v>
      </c>
      <c r="D522" s="32">
        <f t="shared" ref="D522:D525" si="32">SUM(B522:C522)</f>
        <v>12.5</v>
      </c>
      <c r="E522" s="58">
        <v>10</v>
      </c>
      <c r="F522" s="23" t="s">
        <v>36</v>
      </c>
      <c r="G522" s="23" t="s">
        <v>218</v>
      </c>
      <c r="H522" s="23" t="s">
        <v>13</v>
      </c>
      <c r="I522" s="23" t="s">
        <v>49</v>
      </c>
      <c r="J522" s="21" t="s">
        <v>784</v>
      </c>
      <c r="K522" s="21" t="s">
        <v>222</v>
      </c>
      <c r="L522" s="21" t="s">
        <v>818</v>
      </c>
      <c r="M522" s="21"/>
      <c r="N522" s="102"/>
      <c r="O522" s="102"/>
      <c r="P522" s="102"/>
      <c r="Q522" s="89">
        <v>19</v>
      </c>
      <c r="R522" s="87"/>
      <c r="S522" s="87"/>
      <c r="T522" s="87"/>
      <c r="U522" s="87"/>
      <c r="V522" s="87"/>
      <c r="W522" s="87"/>
    </row>
    <row r="523" spans="1:23" x14ac:dyDescent="0.25">
      <c r="A523" s="23" t="s">
        <v>10</v>
      </c>
      <c r="B523" s="32">
        <v>12.6</v>
      </c>
      <c r="C523" s="22" t="s">
        <v>731</v>
      </c>
      <c r="D523" s="32">
        <f t="shared" si="32"/>
        <v>12.6</v>
      </c>
      <c r="E523" s="58">
        <v>1</v>
      </c>
      <c r="F523" s="23" t="s">
        <v>12</v>
      </c>
      <c r="G523" s="23" t="s">
        <v>218</v>
      </c>
      <c r="H523" s="23" t="s">
        <v>13</v>
      </c>
      <c r="I523" s="23" t="s">
        <v>23</v>
      </c>
      <c r="J523" s="65" t="s">
        <v>1162</v>
      </c>
      <c r="K523" s="21" t="s">
        <v>222</v>
      </c>
      <c r="L523" s="21" t="s">
        <v>818</v>
      </c>
      <c r="M523" s="21"/>
      <c r="N523" s="89"/>
      <c r="O523" s="89"/>
      <c r="P523" s="89"/>
      <c r="Q523" s="89">
        <v>47</v>
      </c>
      <c r="R523" s="87"/>
      <c r="S523" s="87"/>
      <c r="T523" s="87"/>
      <c r="U523" s="87"/>
      <c r="V523" s="87"/>
      <c r="W523" s="87"/>
    </row>
    <row r="524" spans="1:23" x14ac:dyDescent="0.25">
      <c r="A524" s="23" t="s">
        <v>10</v>
      </c>
      <c r="B524" s="32">
        <v>15.3</v>
      </c>
      <c r="C524" s="22" t="s">
        <v>731</v>
      </c>
      <c r="D524" s="32">
        <f t="shared" si="32"/>
        <v>15.3</v>
      </c>
      <c r="E524" s="36">
        <v>7</v>
      </c>
      <c r="F524" s="35" t="s">
        <v>12</v>
      </c>
      <c r="G524" s="35" t="s">
        <v>219</v>
      </c>
      <c r="H524" s="35" t="s">
        <v>54</v>
      </c>
      <c r="I524" s="35" t="s">
        <v>224</v>
      </c>
      <c r="J524" s="65" t="s">
        <v>1162</v>
      </c>
      <c r="K524" s="21" t="s">
        <v>222</v>
      </c>
      <c r="L524" s="21" t="s">
        <v>818</v>
      </c>
      <c r="M524" s="21"/>
      <c r="N524" s="89"/>
      <c r="O524" s="89"/>
      <c r="P524" s="89"/>
      <c r="Q524" s="89"/>
      <c r="R524" s="89"/>
      <c r="S524" s="89"/>
      <c r="T524" s="89"/>
      <c r="U524" s="89"/>
      <c r="V524" s="87"/>
      <c r="W524" s="87"/>
    </row>
    <row r="525" spans="1:23" x14ac:dyDescent="0.25">
      <c r="A525" s="23" t="s">
        <v>10</v>
      </c>
      <c r="B525" s="22">
        <v>30</v>
      </c>
      <c r="C525" s="22" t="s">
        <v>731</v>
      </c>
      <c r="D525" s="32">
        <f t="shared" si="32"/>
        <v>30</v>
      </c>
      <c r="E525" s="25">
        <v>1</v>
      </c>
      <c r="F525" s="21" t="s">
        <v>716</v>
      </c>
      <c r="G525" s="21" t="s">
        <v>731</v>
      </c>
      <c r="H525" s="23" t="s">
        <v>725</v>
      </c>
      <c r="I525" s="21" t="s">
        <v>791</v>
      </c>
      <c r="J525" s="21" t="s">
        <v>800</v>
      </c>
      <c r="K525" s="21" t="s">
        <v>809</v>
      </c>
      <c r="L525" s="21"/>
      <c r="M525" s="21" t="s">
        <v>876</v>
      </c>
      <c r="N525" s="87"/>
      <c r="O525" s="87"/>
      <c r="P525" s="87"/>
      <c r="Q525" s="87"/>
      <c r="R525" s="87">
        <v>0</v>
      </c>
      <c r="S525" s="87"/>
      <c r="T525" s="87"/>
      <c r="U525" s="87"/>
      <c r="V525" s="87"/>
      <c r="W525" s="87"/>
    </row>
    <row r="526" spans="1:23" x14ac:dyDescent="0.25">
      <c r="A526" s="13" t="s">
        <v>722</v>
      </c>
      <c r="B526" s="14" t="s">
        <v>731</v>
      </c>
      <c r="C526" s="14" t="s">
        <v>731</v>
      </c>
      <c r="D526" s="18">
        <v>30</v>
      </c>
      <c r="E526" s="15">
        <v>1</v>
      </c>
      <c r="F526" s="13" t="s">
        <v>716</v>
      </c>
      <c r="G526" s="13" t="s">
        <v>731</v>
      </c>
      <c r="H526" s="16" t="s">
        <v>725</v>
      </c>
      <c r="I526" s="13" t="s">
        <v>732</v>
      </c>
      <c r="J526" s="19" t="s">
        <v>770</v>
      </c>
      <c r="K526" s="13" t="s">
        <v>734</v>
      </c>
      <c r="L526" s="13" t="s">
        <v>733</v>
      </c>
      <c r="M526" s="13" t="s">
        <v>753</v>
      </c>
      <c r="N526" s="75"/>
      <c r="O526" s="75"/>
      <c r="P526" s="75"/>
      <c r="Q526" s="74"/>
      <c r="R526" s="74"/>
      <c r="S526" s="74"/>
      <c r="T526" s="74"/>
      <c r="U526" s="74"/>
      <c r="V526" s="74"/>
      <c r="W526" s="74">
        <v>30</v>
      </c>
    </row>
    <row r="527" spans="1:23" x14ac:dyDescent="0.25">
      <c r="A527" s="13" t="s">
        <v>722</v>
      </c>
      <c r="B527" s="28">
        <f>(25+32)/2</f>
        <v>28.5</v>
      </c>
      <c r="C527" s="14">
        <v>10</v>
      </c>
      <c r="D527" s="28">
        <f>SUM(B527:C527)</f>
        <v>38.5</v>
      </c>
      <c r="E527" s="13">
        <v>1</v>
      </c>
      <c r="F527" s="13" t="s">
        <v>716</v>
      </c>
      <c r="G527" s="13" t="s">
        <v>218</v>
      </c>
      <c r="H527" s="16" t="s">
        <v>725</v>
      </c>
      <c r="I527" s="13" t="s">
        <v>985</v>
      </c>
      <c r="J527" s="19" t="s">
        <v>987</v>
      </c>
      <c r="K527" s="13" t="s">
        <v>834</v>
      </c>
      <c r="L527" s="19" t="s">
        <v>833</v>
      </c>
      <c r="M527" s="13" t="s">
        <v>986</v>
      </c>
      <c r="N527" s="77"/>
      <c r="O527" s="77"/>
      <c r="P527" s="77"/>
      <c r="Q527" s="74">
        <f>(2+31)/2</f>
        <v>16.5</v>
      </c>
      <c r="R527" s="74">
        <f>(10+5)/2</f>
        <v>7.5</v>
      </c>
      <c r="S527" s="74">
        <f>(13+0.1+6+0.8+0.8)/2</f>
        <v>10.350000000000001</v>
      </c>
      <c r="T527" s="74"/>
      <c r="U527" s="74"/>
      <c r="V527" s="74"/>
      <c r="W527" s="74"/>
    </row>
    <row r="528" spans="1:23" x14ac:dyDescent="0.25">
      <c r="A528" s="13" t="s">
        <v>722</v>
      </c>
      <c r="B528" s="28">
        <v>12</v>
      </c>
      <c r="C528" s="14" t="s">
        <v>731</v>
      </c>
      <c r="D528" s="28">
        <f t="shared" ref="D528:D532" si="33">SUM(B528:C528)</f>
        <v>12</v>
      </c>
      <c r="E528" s="13">
        <v>104</v>
      </c>
      <c r="F528" s="13" t="s">
        <v>716</v>
      </c>
      <c r="G528" s="13" t="s">
        <v>218</v>
      </c>
      <c r="H528" s="16" t="s">
        <v>13</v>
      </c>
      <c r="I528" s="13" t="s">
        <v>252</v>
      </c>
      <c r="J528" s="13" t="s">
        <v>988</v>
      </c>
      <c r="K528" s="13" t="s">
        <v>834</v>
      </c>
      <c r="L528" s="13" t="s">
        <v>833</v>
      </c>
      <c r="M528" s="13" t="s">
        <v>975</v>
      </c>
      <c r="N528" s="77"/>
      <c r="O528" s="77"/>
      <c r="P528" s="77"/>
      <c r="Q528" s="74">
        <v>4</v>
      </c>
      <c r="R528" s="74">
        <v>15</v>
      </c>
      <c r="S528" s="74"/>
      <c r="T528" s="74"/>
      <c r="U528" s="74"/>
      <c r="V528" s="74"/>
      <c r="W528" s="74"/>
    </row>
    <row r="529" spans="1:23" x14ac:dyDescent="0.25">
      <c r="A529" s="13" t="s">
        <v>722</v>
      </c>
      <c r="B529" s="28">
        <v>10</v>
      </c>
      <c r="C529" s="14" t="s">
        <v>731</v>
      </c>
      <c r="D529" s="28">
        <f t="shared" si="33"/>
        <v>10</v>
      </c>
      <c r="E529" s="13">
        <v>3</v>
      </c>
      <c r="F529" s="13" t="s">
        <v>716</v>
      </c>
      <c r="G529" s="13" t="s">
        <v>218</v>
      </c>
      <c r="H529" s="16" t="s">
        <v>13</v>
      </c>
      <c r="I529" s="13" t="s">
        <v>990</v>
      </c>
      <c r="J529" s="13" t="s">
        <v>989</v>
      </c>
      <c r="K529" s="13" t="s">
        <v>834</v>
      </c>
      <c r="L529" s="13" t="s">
        <v>833</v>
      </c>
      <c r="M529" s="13" t="s">
        <v>975</v>
      </c>
      <c r="N529" s="77"/>
      <c r="O529" s="77"/>
      <c r="P529" s="77"/>
      <c r="Q529" s="74">
        <v>10</v>
      </c>
      <c r="R529" s="74">
        <v>10</v>
      </c>
      <c r="S529" s="74"/>
      <c r="T529" s="74"/>
      <c r="U529" s="74"/>
      <c r="V529" s="74"/>
      <c r="W529" s="74"/>
    </row>
    <row r="530" spans="1:23" x14ac:dyDescent="0.25">
      <c r="A530" s="13" t="s">
        <v>722</v>
      </c>
      <c r="B530" s="14">
        <v>30</v>
      </c>
      <c r="C530" s="14" t="s">
        <v>731</v>
      </c>
      <c r="D530" s="28">
        <f t="shared" si="33"/>
        <v>30</v>
      </c>
      <c r="E530" s="15">
        <v>1</v>
      </c>
      <c r="F530" s="13"/>
      <c r="G530" s="13" t="s">
        <v>218</v>
      </c>
      <c r="H530" s="16" t="s">
        <v>992</v>
      </c>
      <c r="I530" s="13" t="s">
        <v>991</v>
      </c>
      <c r="J530" s="13" t="s">
        <v>961</v>
      </c>
      <c r="K530" s="13" t="s">
        <v>867</v>
      </c>
      <c r="L530" s="13"/>
      <c r="M530" s="13" t="s">
        <v>1127</v>
      </c>
      <c r="N530" s="74"/>
      <c r="O530" s="74"/>
      <c r="P530" s="74"/>
      <c r="Q530" s="74"/>
      <c r="R530" s="74"/>
      <c r="S530" s="74">
        <v>60</v>
      </c>
      <c r="T530" s="74"/>
      <c r="U530" s="74"/>
      <c r="V530" s="74"/>
      <c r="W530" s="74"/>
    </row>
    <row r="531" spans="1:23" x14ac:dyDescent="0.25">
      <c r="A531" s="13" t="s">
        <v>722</v>
      </c>
      <c r="B531" s="14" t="s">
        <v>731</v>
      </c>
      <c r="C531" s="14" t="s">
        <v>731</v>
      </c>
      <c r="D531" s="28" t="s">
        <v>731</v>
      </c>
      <c r="E531" s="13">
        <v>1</v>
      </c>
      <c r="F531" s="13" t="s">
        <v>716</v>
      </c>
      <c r="G531" s="16" t="s">
        <v>218</v>
      </c>
      <c r="H531" s="16" t="s">
        <v>13</v>
      </c>
      <c r="I531" s="13" t="s">
        <v>252</v>
      </c>
      <c r="J531" s="65" t="s">
        <v>1162</v>
      </c>
      <c r="K531" s="13" t="s">
        <v>786</v>
      </c>
      <c r="L531" s="13" t="s">
        <v>796</v>
      </c>
      <c r="M531" s="13"/>
      <c r="N531" s="74"/>
      <c r="O531" s="74"/>
      <c r="P531" s="74"/>
      <c r="Q531" s="74">
        <v>2</v>
      </c>
      <c r="R531" s="74">
        <v>10</v>
      </c>
      <c r="S531" s="74"/>
      <c r="T531" s="74"/>
      <c r="U531" s="74"/>
      <c r="V531" s="74"/>
      <c r="W531" s="74"/>
    </row>
    <row r="532" spans="1:23" x14ac:dyDescent="0.25">
      <c r="A532" s="13" t="s">
        <v>722</v>
      </c>
      <c r="B532" s="18" t="s">
        <v>731</v>
      </c>
      <c r="C532" s="18">
        <v>27.5</v>
      </c>
      <c r="D532" s="28">
        <f t="shared" si="33"/>
        <v>27.5</v>
      </c>
      <c r="E532" s="15">
        <v>1</v>
      </c>
      <c r="F532" s="13" t="s">
        <v>716</v>
      </c>
      <c r="G532" s="16" t="s">
        <v>218</v>
      </c>
      <c r="H532" s="16" t="s">
        <v>59</v>
      </c>
      <c r="I532" s="13" t="s">
        <v>993</v>
      </c>
      <c r="J532" s="65" t="s">
        <v>731</v>
      </c>
      <c r="K532" s="13"/>
      <c r="L532" s="13" t="s">
        <v>994</v>
      </c>
      <c r="M532" s="13"/>
      <c r="N532" s="75"/>
      <c r="O532" s="75"/>
      <c r="P532" s="75"/>
      <c r="Q532" s="74"/>
      <c r="R532" s="74"/>
      <c r="S532" s="74"/>
      <c r="T532" s="74"/>
      <c r="U532" s="74"/>
      <c r="V532" s="74"/>
      <c r="W532" s="74">
        <f>(25+30)/2</f>
        <v>27.5</v>
      </c>
    </row>
    <row r="533" spans="1:23" x14ac:dyDescent="0.25">
      <c r="A533" s="13" t="s">
        <v>722</v>
      </c>
      <c r="B533" s="17">
        <v>95.6</v>
      </c>
      <c r="C533" s="17" t="s">
        <v>731</v>
      </c>
      <c r="D533" s="17">
        <f>SUM(B533:C533)</f>
        <v>95.6</v>
      </c>
      <c r="E533" s="20">
        <v>10</v>
      </c>
      <c r="F533" s="13" t="s">
        <v>716</v>
      </c>
      <c r="G533" s="16" t="s">
        <v>218</v>
      </c>
      <c r="H533" s="30" t="s">
        <v>13</v>
      </c>
      <c r="I533" s="13" t="s">
        <v>1122</v>
      </c>
      <c r="J533" s="13" t="s">
        <v>1121</v>
      </c>
      <c r="K533" s="13"/>
      <c r="L533" s="13"/>
      <c r="M533" s="13"/>
      <c r="N533" s="76">
        <v>4.4000000000000004</v>
      </c>
      <c r="O533" s="76"/>
      <c r="P533" s="76"/>
      <c r="Q533" s="76"/>
      <c r="R533" s="76"/>
      <c r="S533" s="76"/>
      <c r="T533" s="74"/>
      <c r="U533" s="74"/>
      <c r="V533" s="74"/>
      <c r="W533" s="74"/>
    </row>
    <row r="534" spans="1:23" x14ac:dyDescent="0.25">
      <c r="A534" s="13" t="s">
        <v>722</v>
      </c>
      <c r="B534" s="17">
        <v>17.5</v>
      </c>
      <c r="C534" s="17" t="s">
        <v>731</v>
      </c>
      <c r="D534" s="17">
        <f>SUM(B534:C534)</f>
        <v>17.5</v>
      </c>
      <c r="E534" s="20">
        <v>24</v>
      </c>
      <c r="F534" s="13" t="s">
        <v>716</v>
      </c>
      <c r="G534" s="16" t="s">
        <v>218</v>
      </c>
      <c r="H534" s="30" t="s">
        <v>13</v>
      </c>
      <c r="I534" s="13" t="s">
        <v>1123</v>
      </c>
      <c r="J534" s="13" t="s">
        <v>1124</v>
      </c>
      <c r="K534" s="13"/>
      <c r="L534" s="13"/>
      <c r="M534" s="13"/>
      <c r="N534" s="76">
        <f>13.1+1.5+6.6</f>
        <v>21.2</v>
      </c>
      <c r="O534" s="76"/>
      <c r="P534" s="76"/>
      <c r="Q534" s="76">
        <v>1.5</v>
      </c>
      <c r="R534" s="74">
        <v>13.1</v>
      </c>
      <c r="S534" s="74">
        <v>6.6</v>
      </c>
      <c r="T534" s="74"/>
      <c r="U534" s="74"/>
      <c r="V534" s="74"/>
      <c r="W534" s="74"/>
    </row>
    <row r="535" spans="1:23" x14ac:dyDescent="0.25">
      <c r="A535" s="13" t="s">
        <v>722</v>
      </c>
      <c r="B535" s="17">
        <f>10.2+8.6</f>
        <v>18.799999999999997</v>
      </c>
      <c r="C535" s="17" t="s">
        <v>731</v>
      </c>
      <c r="D535" s="17">
        <f t="shared" ref="D535:D538" si="34">SUM(B535:C535)</f>
        <v>18.799999999999997</v>
      </c>
      <c r="E535" s="20">
        <v>8</v>
      </c>
      <c r="F535" s="13" t="s">
        <v>1130</v>
      </c>
      <c r="G535" s="16" t="s">
        <v>218</v>
      </c>
      <c r="H535" s="30" t="s">
        <v>13</v>
      </c>
      <c r="I535" s="13" t="s">
        <v>1128</v>
      </c>
      <c r="J535" s="13" t="s">
        <v>1129</v>
      </c>
      <c r="K535" s="13"/>
      <c r="L535" s="13"/>
      <c r="M535" s="13"/>
      <c r="N535" s="76"/>
      <c r="O535" s="76"/>
      <c r="P535" s="76"/>
      <c r="Q535" s="74"/>
      <c r="R535" s="76">
        <f>6.4+4.5</f>
        <v>10.9</v>
      </c>
      <c r="S535" s="74"/>
      <c r="T535" s="74"/>
      <c r="U535" s="74"/>
      <c r="V535" s="74"/>
      <c r="W535" s="74"/>
    </row>
    <row r="536" spans="1:23" x14ac:dyDescent="0.25">
      <c r="A536" s="13" t="s">
        <v>722</v>
      </c>
      <c r="B536" s="17">
        <f>11.3+9.8</f>
        <v>21.1</v>
      </c>
      <c r="C536" s="17" t="s">
        <v>731</v>
      </c>
      <c r="D536" s="17">
        <f t="shared" si="34"/>
        <v>21.1</v>
      </c>
      <c r="E536" s="20">
        <v>8</v>
      </c>
      <c r="F536" s="13" t="s">
        <v>1131</v>
      </c>
      <c r="G536" s="16" t="s">
        <v>220</v>
      </c>
      <c r="H536" s="30" t="s">
        <v>13</v>
      </c>
      <c r="I536" s="13" t="s">
        <v>1128</v>
      </c>
      <c r="J536" s="13" t="s">
        <v>1129</v>
      </c>
      <c r="K536" s="13"/>
      <c r="L536" s="13"/>
      <c r="M536" s="13"/>
      <c r="N536" s="76"/>
      <c r="O536" s="76"/>
      <c r="P536" s="76"/>
      <c r="Q536" s="74"/>
      <c r="R536" s="76">
        <f>5.2+3.6</f>
        <v>8.8000000000000007</v>
      </c>
      <c r="S536" s="74"/>
      <c r="T536" s="74"/>
      <c r="U536" s="74"/>
      <c r="V536" s="74"/>
      <c r="W536" s="74"/>
    </row>
    <row r="537" spans="1:23" x14ac:dyDescent="0.25">
      <c r="A537" s="13" t="s">
        <v>722</v>
      </c>
      <c r="B537" s="17">
        <f>17.3+12.8</f>
        <v>30.1</v>
      </c>
      <c r="C537" s="17" t="s">
        <v>731</v>
      </c>
      <c r="D537" s="17">
        <f t="shared" si="34"/>
        <v>30.1</v>
      </c>
      <c r="E537" s="20">
        <v>8</v>
      </c>
      <c r="F537" s="13" t="s">
        <v>1130</v>
      </c>
      <c r="G537" s="16" t="s">
        <v>218</v>
      </c>
      <c r="H537" s="30" t="s">
        <v>13</v>
      </c>
      <c r="I537" s="13" t="s">
        <v>1128</v>
      </c>
      <c r="J537" s="13" t="s">
        <v>1129</v>
      </c>
      <c r="K537" s="13"/>
      <c r="L537" s="13"/>
      <c r="M537" s="13"/>
      <c r="N537" s="76"/>
      <c r="O537" s="76"/>
      <c r="P537" s="76"/>
      <c r="Q537" s="74"/>
      <c r="R537" s="76">
        <f>0.8+2.5</f>
        <v>3.3</v>
      </c>
      <c r="S537" s="74"/>
      <c r="T537" s="74"/>
      <c r="U537" s="74"/>
      <c r="V537" s="74"/>
      <c r="W537" s="74"/>
    </row>
    <row r="538" spans="1:23" x14ac:dyDescent="0.25">
      <c r="A538" s="13" t="s">
        <v>722</v>
      </c>
      <c r="B538" s="17">
        <f>15.6+12.4</f>
        <v>28</v>
      </c>
      <c r="C538" s="17" t="s">
        <v>731</v>
      </c>
      <c r="D538" s="17">
        <f t="shared" si="34"/>
        <v>28</v>
      </c>
      <c r="E538" s="20">
        <v>8</v>
      </c>
      <c r="F538" s="13" t="s">
        <v>1131</v>
      </c>
      <c r="G538" s="16" t="s">
        <v>220</v>
      </c>
      <c r="H538" s="30" t="s">
        <v>13</v>
      </c>
      <c r="I538" s="13" t="s">
        <v>1128</v>
      </c>
      <c r="J538" s="13" t="s">
        <v>1129</v>
      </c>
      <c r="K538" s="13"/>
      <c r="L538" s="13"/>
      <c r="M538" s="13"/>
      <c r="N538" s="76"/>
      <c r="O538" s="76"/>
      <c r="P538" s="76"/>
      <c r="Q538" s="74"/>
      <c r="R538" s="76">
        <f>0.7+1.9</f>
        <v>2.5999999999999996</v>
      </c>
      <c r="S538" s="74"/>
      <c r="T538" s="74"/>
      <c r="U538" s="74"/>
      <c r="V538" s="74"/>
      <c r="W538" s="74"/>
    </row>
    <row r="539" spans="1:23" x14ac:dyDescent="0.25">
      <c r="A539" s="13" t="s">
        <v>722</v>
      </c>
      <c r="B539" s="17">
        <v>16</v>
      </c>
      <c r="C539" s="17" t="s">
        <v>731</v>
      </c>
      <c r="D539" s="17">
        <f>SUM(B539:C539)</f>
        <v>16</v>
      </c>
      <c r="E539" s="20">
        <v>1</v>
      </c>
      <c r="F539" s="13" t="s">
        <v>716</v>
      </c>
      <c r="G539" s="16" t="s">
        <v>218</v>
      </c>
      <c r="H539" s="30" t="s">
        <v>13</v>
      </c>
      <c r="I539" s="13" t="s">
        <v>1125</v>
      </c>
      <c r="J539" s="13" t="s">
        <v>1126</v>
      </c>
      <c r="K539" s="13"/>
      <c r="L539" s="13"/>
      <c r="M539" s="13"/>
      <c r="N539" s="76">
        <v>33.200000000000003</v>
      </c>
      <c r="O539" s="76"/>
      <c r="P539" s="76"/>
      <c r="Q539" s="76"/>
      <c r="R539" s="74">
        <v>16</v>
      </c>
      <c r="S539" s="74">
        <v>15</v>
      </c>
      <c r="T539" s="74"/>
      <c r="U539" s="74"/>
      <c r="V539" s="74"/>
      <c r="W539" s="74"/>
    </row>
    <row r="540" spans="1:23" x14ac:dyDescent="0.25">
      <c r="A540" s="13" t="s">
        <v>722</v>
      </c>
      <c r="B540" s="64">
        <f>34.5*0.79</f>
        <v>27.255000000000003</v>
      </c>
      <c r="C540" s="17" t="s">
        <v>731</v>
      </c>
      <c r="D540" s="64">
        <f>SUM(B540:C540)</f>
        <v>27.255000000000003</v>
      </c>
      <c r="E540" s="20">
        <v>29</v>
      </c>
      <c r="F540" s="13" t="s">
        <v>1133</v>
      </c>
      <c r="G540" s="16" t="s">
        <v>220</v>
      </c>
      <c r="H540" s="30" t="s">
        <v>13</v>
      </c>
      <c r="I540" s="13" t="s">
        <v>1134</v>
      </c>
      <c r="J540" s="13" t="s">
        <v>1132</v>
      </c>
      <c r="K540" s="13"/>
      <c r="L540" s="13"/>
      <c r="M540" s="13"/>
      <c r="N540" s="76"/>
      <c r="O540" s="76"/>
      <c r="P540" s="76"/>
      <c r="Q540" s="76"/>
      <c r="R540" s="74"/>
      <c r="S540" s="74"/>
      <c r="T540" s="74"/>
      <c r="U540" s="74"/>
      <c r="V540" s="74"/>
      <c r="W540" s="74"/>
    </row>
    <row r="541" spans="1:23" x14ac:dyDescent="0.25">
      <c r="A541" s="13" t="s">
        <v>722</v>
      </c>
      <c r="B541" s="72">
        <f>(16+14)/200*100</f>
        <v>15</v>
      </c>
      <c r="C541" s="17" t="s">
        <v>731</v>
      </c>
      <c r="D541" s="17">
        <f t="shared" ref="D541:D542" si="35">SUM(B541:C541)</f>
        <v>15</v>
      </c>
      <c r="E541" s="20">
        <v>15</v>
      </c>
      <c r="F541" s="13" t="s">
        <v>1151</v>
      </c>
      <c r="G541" s="16" t="s">
        <v>218</v>
      </c>
      <c r="H541" s="30" t="s">
        <v>13</v>
      </c>
      <c r="I541" s="13" t="s">
        <v>1149</v>
      </c>
      <c r="J541" s="13" t="s">
        <v>1150</v>
      </c>
      <c r="K541" s="13"/>
      <c r="L541" s="13"/>
      <c r="M541" s="13"/>
      <c r="N541" s="76"/>
      <c r="O541" s="76"/>
      <c r="P541" s="76"/>
      <c r="Q541" s="76"/>
      <c r="R541" s="74"/>
      <c r="S541" s="74"/>
      <c r="T541" s="74"/>
      <c r="U541" s="74"/>
      <c r="V541" s="74"/>
      <c r="W541" s="74"/>
    </row>
    <row r="542" spans="1:23" x14ac:dyDescent="0.25">
      <c r="A542" s="13" t="s">
        <v>722</v>
      </c>
      <c r="B542" s="72">
        <f>(18+15)/200*100</f>
        <v>16.5</v>
      </c>
      <c r="C542" s="17" t="s">
        <v>731</v>
      </c>
      <c r="D542" s="17">
        <f t="shared" si="35"/>
        <v>16.5</v>
      </c>
      <c r="E542" s="20">
        <v>20</v>
      </c>
      <c r="F542" s="13" t="s">
        <v>716</v>
      </c>
      <c r="G542" s="16" t="s">
        <v>218</v>
      </c>
      <c r="H542" s="30" t="s">
        <v>13</v>
      </c>
      <c r="I542" s="13" t="s">
        <v>1149</v>
      </c>
      <c r="J542" s="13" t="s">
        <v>1150</v>
      </c>
      <c r="K542" s="13"/>
      <c r="L542" s="13"/>
      <c r="M542" s="13"/>
      <c r="N542" s="76"/>
      <c r="O542" s="76"/>
      <c r="P542" s="76"/>
      <c r="Q542" s="76"/>
      <c r="R542" s="74"/>
      <c r="S542" s="74"/>
      <c r="T542" s="74"/>
      <c r="U542" s="74"/>
      <c r="V542" s="74"/>
      <c r="W542" s="74"/>
    </row>
    <row r="543" spans="1:23" x14ac:dyDescent="0.25">
      <c r="A543" s="23" t="s">
        <v>55</v>
      </c>
      <c r="B543" s="32">
        <v>50.9</v>
      </c>
      <c r="C543" s="22" t="s">
        <v>731</v>
      </c>
      <c r="D543" s="32">
        <f>SUM(B543:C543)</f>
        <v>50.9</v>
      </c>
      <c r="E543" s="34">
        <v>18</v>
      </c>
      <c r="F543" s="35" t="s">
        <v>12</v>
      </c>
      <c r="G543" s="35" t="s">
        <v>218</v>
      </c>
      <c r="H543" s="35" t="s">
        <v>13</v>
      </c>
      <c r="I543" s="35" t="s">
        <v>76</v>
      </c>
      <c r="J543" s="65" t="s">
        <v>1162</v>
      </c>
      <c r="K543" s="21" t="s">
        <v>222</v>
      </c>
      <c r="L543" s="21" t="s">
        <v>818</v>
      </c>
      <c r="M543" s="21"/>
      <c r="N543" s="89"/>
      <c r="O543" s="89"/>
      <c r="P543" s="89"/>
      <c r="Q543" s="87"/>
      <c r="R543" s="87"/>
      <c r="S543" s="87"/>
      <c r="T543" s="87"/>
      <c r="U543" s="87"/>
      <c r="V543" s="87"/>
      <c r="W543" s="87"/>
    </row>
    <row r="544" spans="1:23" x14ac:dyDescent="0.25">
      <c r="A544" s="23" t="s">
        <v>55</v>
      </c>
      <c r="B544" s="32">
        <v>82.5</v>
      </c>
      <c r="C544" s="22" t="s">
        <v>731</v>
      </c>
      <c r="D544" s="32">
        <f t="shared" ref="D544:D607" si="36">SUM(B544:C544)</f>
        <v>82.5</v>
      </c>
      <c r="E544" s="34">
        <v>8</v>
      </c>
      <c r="F544" s="23" t="s">
        <v>12</v>
      </c>
      <c r="G544" s="23" t="s">
        <v>218</v>
      </c>
      <c r="H544" s="23" t="s">
        <v>13</v>
      </c>
      <c r="I544" s="23" t="s">
        <v>69</v>
      </c>
      <c r="J544" s="65" t="s">
        <v>1162</v>
      </c>
      <c r="K544" s="21" t="s">
        <v>222</v>
      </c>
      <c r="L544" s="21" t="s">
        <v>818</v>
      </c>
      <c r="M544" s="21"/>
      <c r="N544" s="89"/>
      <c r="O544" s="89"/>
      <c r="P544" s="89"/>
      <c r="Q544" s="87"/>
      <c r="R544" s="87"/>
      <c r="S544" s="87"/>
      <c r="T544" s="87"/>
      <c r="U544" s="87"/>
      <c r="V544" s="87"/>
      <c r="W544" s="87"/>
    </row>
    <row r="545" spans="1:23" x14ac:dyDescent="0.25">
      <c r="A545" s="21" t="s">
        <v>55</v>
      </c>
      <c r="B545" s="33">
        <f>(50+75)/2</f>
        <v>62.5</v>
      </c>
      <c r="C545" s="22">
        <v>5</v>
      </c>
      <c r="D545" s="32">
        <f t="shared" si="36"/>
        <v>67.5</v>
      </c>
      <c r="E545" s="25">
        <v>1</v>
      </c>
      <c r="F545" s="21" t="s">
        <v>716</v>
      </c>
      <c r="G545" s="21" t="s">
        <v>731</v>
      </c>
      <c r="H545" s="23" t="s">
        <v>725</v>
      </c>
      <c r="I545" s="21" t="s">
        <v>812</v>
      </c>
      <c r="J545" s="65" t="s">
        <v>731</v>
      </c>
      <c r="K545" s="21">
        <v>246</v>
      </c>
      <c r="L545" s="21"/>
      <c r="M545" s="21" t="s">
        <v>921</v>
      </c>
      <c r="N545" s="98"/>
      <c r="O545" s="98"/>
      <c r="P545" s="98"/>
      <c r="Q545" s="98"/>
      <c r="R545" s="87"/>
      <c r="S545" s="87"/>
      <c r="T545" s="87"/>
      <c r="U545" s="87"/>
      <c r="V545" s="87"/>
      <c r="W545" s="87"/>
    </row>
    <row r="546" spans="1:23" x14ac:dyDescent="0.25">
      <c r="A546" s="23" t="s">
        <v>55</v>
      </c>
      <c r="B546" s="32">
        <v>41.4</v>
      </c>
      <c r="C546" s="22" t="s">
        <v>731</v>
      </c>
      <c r="D546" s="32">
        <f t="shared" si="36"/>
        <v>41.4</v>
      </c>
      <c r="E546" s="34">
        <v>10</v>
      </c>
      <c r="F546" s="23" t="s">
        <v>12</v>
      </c>
      <c r="G546" s="23" t="s">
        <v>218</v>
      </c>
      <c r="H546" s="23" t="s">
        <v>13</v>
      </c>
      <c r="I546" s="23" t="s">
        <v>73</v>
      </c>
      <c r="J546" s="65" t="s">
        <v>1162</v>
      </c>
      <c r="K546" s="21" t="s">
        <v>222</v>
      </c>
      <c r="L546" s="21" t="s">
        <v>818</v>
      </c>
      <c r="M546" s="21"/>
      <c r="N546" s="89"/>
      <c r="O546" s="89"/>
      <c r="P546" s="89"/>
      <c r="Q546" s="87"/>
      <c r="R546" s="87"/>
      <c r="S546" s="87"/>
      <c r="T546" s="87"/>
      <c r="U546" s="87"/>
      <c r="V546" s="87"/>
      <c r="W546" s="87"/>
    </row>
    <row r="547" spans="1:23" x14ac:dyDescent="0.25">
      <c r="A547" s="23" t="s">
        <v>55</v>
      </c>
      <c r="B547" s="32">
        <v>62.5</v>
      </c>
      <c r="C547" s="22" t="s">
        <v>731</v>
      </c>
      <c r="D547" s="32">
        <f t="shared" si="36"/>
        <v>62.5</v>
      </c>
      <c r="E547" s="34">
        <v>1</v>
      </c>
      <c r="F547" s="23" t="s">
        <v>15</v>
      </c>
      <c r="G547" s="23" t="s">
        <v>218</v>
      </c>
      <c r="H547" s="23" t="s">
        <v>13</v>
      </c>
      <c r="I547" s="23" t="s">
        <v>28</v>
      </c>
      <c r="J547" s="65" t="s">
        <v>1162</v>
      </c>
      <c r="K547" s="21" t="s">
        <v>222</v>
      </c>
      <c r="L547" s="21" t="s">
        <v>818</v>
      </c>
      <c r="M547" s="21"/>
      <c r="N547" s="89"/>
      <c r="O547" s="89"/>
      <c r="P547" s="89"/>
      <c r="Q547" s="87"/>
      <c r="R547" s="87"/>
      <c r="S547" s="87"/>
      <c r="T547" s="87"/>
      <c r="U547" s="87"/>
      <c r="V547" s="87"/>
      <c r="W547" s="87"/>
    </row>
    <row r="548" spans="1:23" x14ac:dyDescent="0.25">
      <c r="A548" s="23" t="s">
        <v>55</v>
      </c>
      <c r="B548" s="32">
        <v>56.8</v>
      </c>
      <c r="C548" s="22" t="s">
        <v>731</v>
      </c>
      <c r="D548" s="32">
        <f t="shared" si="36"/>
        <v>56.8</v>
      </c>
      <c r="E548" s="34">
        <v>4</v>
      </c>
      <c r="F548" s="35" t="s">
        <v>12</v>
      </c>
      <c r="G548" s="35" t="s">
        <v>218</v>
      </c>
      <c r="H548" s="35" t="s">
        <v>13</v>
      </c>
      <c r="I548" s="35" t="s">
        <v>53</v>
      </c>
      <c r="J548" s="65" t="s">
        <v>1162</v>
      </c>
      <c r="K548" s="21" t="s">
        <v>222</v>
      </c>
      <c r="L548" s="21" t="s">
        <v>818</v>
      </c>
      <c r="M548" s="21"/>
      <c r="N548" s="89"/>
      <c r="O548" s="89"/>
      <c r="P548" s="89"/>
      <c r="Q548" s="87"/>
      <c r="R548" s="87"/>
      <c r="S548" s="87"/>
      <c r="T548" s="87"/>
      <c r="U548" s="87"/>
      <c r="V548" s="87"/>
      <c r="W548" s="87"/>
    </row>
    <row r="549" spans="1:23" x14ac:dyDescent="0.25">
      <c r="A549" s="23" t="s">
        <v>55</v>
      </c>
      <c r="B549" s="32">
        <v>33.299999999999997</v>
      </c>
      <c r="C549" s="22" t="s">
        <v>731</v>
      </c>
      <c r="D549" s="32">
        <f t="shared" si="36"/>
        <v>33.299999999999997</v>
      </c>
      <c r="E549" s="34">
        <v>15</v>
      </c>
      <c r="F549" s="35" t="s">
        <v>36</v>
      </c>
      <c r="G549" s="35" t="s">
        <v>218</v>
      </c>
      <c r="H549" s="35" t="s">
        <v>13</v>
      </c>
      <c r="I549" s="35" t="s">
        <v>53</v>
      </c>
      <c r="J549" s="65" t="s">
        <v>1162</v>
      </c>
      <c r="K549" s="21" t="s">
        <v>222</v>
      </c>
      <c r="L549" s="21" t="s">
        <v>818</v>
      </c>
      <c r="M549" s="21"/>
      <c r="N549" s="89"/>
      <c r="O549" s="89"/>
      <c r="P549" s="89"/>
      <c r="Q549" s="87"/>
      <c r="R549" s="87"/>
      <c r="S549" s="87"/>
      <c r="T549" s="87"/>
      <c r="U549" s="87"/>
      <c r="V549" s="87"/>
      <c r="W549" s="87"/>
    </row>
    <row r="550" spans="1:23" x14ac:dyDescent="0.25">
      <c r="A550" s="23" t="s">
        <v>55</v>
      </c>
      <c r="B550" s="32">
        <v>53</v>
      </c>
      <c r="C550" s="22" t="s">
        <v>731</v>
      </c>
      <c r="D550" s="32">
        <f t="shared" si="36"/>
        <v>53</v>
      </c>
      <c r="E550" s="34">
        <v>15</v>
      </c>
      <c r="F550" s="23" t="s">
        <v>36</v>
      </c>
      <c r="G550" s="23" t="s">
        <v>218</v>
      </c>
      <c r="H550" s="23" t="s">
        <v>13</v>
      </c>
      <c r="I550" s="23" t="s">
        <v>75</v>
      </c>
      <c r="J550" s="65" t="s">
        <v>1162</v>
      </c>
      <c r="K550" s="21" t="s">
        <v>222</v>
      </c>
      <c r="L550" s="21" t="s">
        <v>818</v>
      </c>
      <c r="M550" s="21"/>
      <c r="N550" s="89"/>
      <c r="O550" s="89"/>
      <c r="P550" s="89"/>
      <c r="Q550" s="87"/>
      <c r="R550" s="87"/>
      <c r="S550" s="87"/>
      <c r="T550" s="87"/>
      <c r="U550" s="87"/>
      <c r="V550" s="87"/>
      <c r="W550" s="87"/>
    </row>
    <row r="551" spans="1:23" x14ac:dyDescent="0.25">
      <c r="A551" s="23" t="s">
        <v>55</v>
      </c>
      <c r="B551" s="32">
        <v>67.5</v>
      </c>
      <c r="C551" s="22" t="s">
        <v>731</v>
      </c>
      <c r="D551" s="32">
        <f t="shared" si="36"/>
        <v>67.5</v>
      </c>
      <c r="E551" s="34">
        <v>7</v>
      </c>
      <c r="F551" s="23" t="s">
        <v>15</v>
      </c>
      <c r="G551" s="23" t="s">
        <v>218</v>
      </c>
      <c r="H551" s="23" t="s">
        <v>13</v>
      </c>
      <c r="I551" s="23" t="s">
        <v>41</v>
      </c>
      <c r="J551" s="65" t="s">
        <v>1162</v>
      </c>
      <c r="K551" s="21" t="s">
        <v>222</v>
      </c>
      <c r="L551" s="21" t="s">
        <v>818</v>
      </c>
      <c r="M551" s="21"/>
      <c r="N551" s="89"/>
      <c r="O551" s="89"/>
      <c r="P551" s="89"/>
      <c r="Q551" s="87"/>
      <c r="R551" s="87"/>
      <c r="S551" s="87"/>
      <c r="T551" s="87"/>
      <c r="U551" s="87"/>
      <c r="V551" s="87"/>
      <c r="W551" s="87"/>
    </row>
    <row r="552" spans="1:23" x14ac:dyDescent="0.25">
      <c r="A552" s="23" t="s">
        <v>55</v>
      </c>
      <c r="B552" s="32">
        <v>27.3</v>
      </c>
      <c r="C552" s="22" t="s">
        <v>731</v>
      </c>
      <c r="D552" s="32">
        <f t="shared" si="36"/>
        <v>27.3</v>
      </c>
      <c r="E552" s="34">
        <v>7</v>
      </c>
      <c r="F552" s="23" t="s">
        <v>15</v>
      </c>
      <c r="G552" s="23" t="s">
        <v>218</v>
      </c>
      <c r="H552" s="23" t="s">
        <v>13</v>
      </c>
      <c r="I552" s="23" t="s">
        <v>41</v>
      </c>
      <c r="J552" s="65" t="s">
        <v>1162</v>
      </c>
      <c r="K552" s="21" t="s">
        <v>222</v>
      </c>
      <c r="L552" s="21" t="s">
        <v>818</v>
      </c>
      <c r="M552" s="21"/>
      <c r="N552" s="89"/>
      <c r="O552" s="89"/>
      <c r="P552" s="89"/>
      <c r="Q552" s="87"/>
      <c r="R552" s="87"/>
      <c r="S552" s="87"/>
      <c r="T552" s="87"/>
      <c r="U552" s="87"/>
      <c r="V552" s="87"/>
      <c r="W552" s="87"/>
    </row>
    <row r="553" spans="1:23" x14ac:dyDescent="0.25">
      <c r="A553" s="21" t="s">
        <v>55</v>
      </c>
      <c r="B553" s="27">
        <v>50</v>
      </c>
      <c r="C553" s="22" t="s">
        <v>731</v>
      </c>
      <c r="D553" s="32">
        <f t="shared" si="36"/>
        <v>50</v>
      </c>
      <c r="E553" s="25">
        <v>1</v>
      </c>
      <c r="F553" s="21" t="s">
        <v>716</v>
      </c>
      <c r="G553" s="21" t="s">
        <v>731</v>
      </c>
      <c r="H553" s="23" t="s">
        <v>725</v>
      </c>
      <c r="I553" s="21" t="s">
        <v>732</v>
      </c>
      <c r="J553" s="21" t="s">
        <v>770</v>
      </c>
      <c r="K553" s="21" t="s">
        <v>734</v>
      </c>
      <c r="L553" s="21" t="s">
        <v>733</v>
      </c>
      <c r="M553" s="21" t="s">
        <v>753</v>
      </c>
      <c r="N553" s="88"/>
      <c r="O553" s="88"/>
      <c r="P553" s="88"/>
      <c r="Q553" s="87"/>
      <c r="R553" s="87"/>
      <c r="S553" s="87"/>
      <c r="T553" s="87"/>
      <c r="U553" s="87"/>
      <c r="V553" s="87"/>
      <c r="W553" s="87">
        <v>50</v>
      </c>
    </row>
    <row r="554" spans="1:23" x14ac:dyDescent="0.25">
      <c r="A554" s="23" t="s">
        <v>55</v>
      </c>
      <c r="B554" s="32">
        <v>45.4</v>
      </c>
      <c r="C554" s="22" t="s">
        <v>731</v>
      </c>
      <c r="D554" s="32">
        <f t="shared" si="36"/>
        <v>45.4</v>
      </c>
      <c r="E554" s="34">
        <v>12</v>
      </c>
      <c r="F554" s="23" t="s">
        <v>12</v>
      </c>
      <c r="G554" s="23" t="s">
        <v>218</v>
      </c>
      <c r="H554" s="23" t="s">
        <v>13</v>
      </c>
      <c r="I554" s="23" t="s">
        <v>71</v>
      </c>
      <c r="J554" s="65" t="s">
        <v>1162</v>
      </c>
      <c r="K554" s="21" t="s">
        <v>222</v>
      </c>
      <c r="L554" s="21" t="s">
        <v>818</v>
      </c>
      <c r="M554" s="21"/>
      <c r="N554" s="89"/>
      <c r="O554" s="89"/>
      <c r="P554" s="89"/>
      <c r="Q554" s="87"/>
      <c r="R554" s="87"/>
      <c r="S554" s="87"/>
      <c r="T554" s="87"/>
      <c r="U554" s="87"/>
      <c r="V554" s="87"/>
      <c r="W554" s="87"/>
    </row>
    <row r="555" spans="1:23" x14ac:dyDescent="0.25">
      <c r="A555" s="23" t="s">
        <v>55</v>
      </c>
      <c r="B555" s="32">
        <v>56.3</v>
      </c>
      <c r="C555" s="22" t="s">
        <v>731</v>
      </c>
      <c r="D555" s="32">
        <f t="shared" si="36"/>
        <v>56.3</v>
      </c>
      <c r="E555" s="34">
        <v>12</v>
      </c>
      <c r="F555" s="23" t="s">
        <v>12</v>
      </c>
      <c r="G555" s="23" t="s">
        <v>218</v>
      </c>
      <c r="H555" s="23" t="s">
        <v>13</v>
      </c>
      <c r="I555" s="23" t="s">
        <v>71</v>
      </c>
      <c r="J555" s="65" t="s">
        <v>1162</v>
      </c>
      <c r="K555" s="21" t="s">
        <v>222</v>
      </c>
      <c r="L555" s="21" t="s">
        <v>818</v>
      </c>
      <c r="M555" s="21"/>
      <c r="N555" s="89"/>
      <c r="O555" s="89"/>
      <c r="P555" s="89"/>
      <c r="Q555" s="87"/>
      <c r="R555" s="87"/>
      <c r="S555" s="87"/>
      <c r="T555" s="87"/>
      <c r="U555" s="87"/>
      <c r="V555" s="87"/>
      <c r="W555" s="87"/>
    </row>
    <row r="556" spans="1:23" x14ac:dyDescent="0.25">
      <c r="A556" s="23" t="s">
        <v>55</v>
      </c>
      <c r="B556" s="32">
        <v>56.5</v>
      </c>
      <c r="C556" s="22" t="s">
        <v>731</v>
      </c>
      <c r="D556" s="32">
        <f t="shared" si="36"/>
        <v>56.5</v>
      </c>
      <c r="E556" s="34">
        <v>12</v>
      </c>
      <c r="F556" s="23" t="s">
        <v>12</v>
      </c>
      <c r="G556" s="23" t="s">
        <v>218</v>
      </c>
      <c r="H556" s="23" t="s">
        <v>13</v>
      </c>
      <c r="I556" s="23" t="s">
        <v>66</v>
      </c>
      <c r="J556" s="65" t="s">
        <v>1162</v>
      </c>
      <c r="K556" s="21" t="s">
        <v>222</v>
      </c>
      <c r="L556" s="21" t="s">
        <v>818</v>
      </c>
      <c r="M556" s="21"/>
      <c r="N556" s="89"/>
      <c r="O556" s="89"/>
      <c r="P556" s="89"/>
      <c r="Q556" s="87"/>
      <c r="R556" s="87"/>
      <c r="S556" s="87"/>
      <c r="T556" s="87"/>
      <c r="U556" s="87"/>
      <c r="V556" s="87"/>
      <c r="W556" s="87"/>
    </row>
    <row r="557" spans="1:23" x14ac:dyDescent="0.25">
      <c r="A557" s="23" t="s">
        <v>55</v>
      </c>
      <c r="B557" s="32">
        <v>14.5</v>
      </c>
      <c r="C557" s="22" t="s">
        <v>731</v>
      </c>
      <c r="D557" s="32">
        <f t="shared" si="36"/>
        <v>14.5</v>
      </c>
      <c r="E557" s="34">
        <v>8</v>
      </c>
      <c r="F557" s="23" t="s">
        <v>12</v>
      </c>
      <c r="G557" s="23" t="s">
        <v>218</v>
      </c>
      <c r="H557" s="23" t="s">
        <v>13</v>
      </c>
      <c r="I557" s="23" t="s">
        <v>66</v>
      </c>
      <c r="J557" s="65" t="s">
        <v>1162</v>
      </c>
      <c r="K557" s="21" t="s">
        <v>222</v>
      </c>
      <c r="L557" s="21" t="s">
        <v>818</v>
      </c>
      <c r="M557" s="21"/>
      <c r="N557" s="89"/>
      <c r="O557" s="89"/>
      <c r="P557" s="89"/>
      <c r="Q557" s="87"/>
      <c r="R557" s="87"/>
      <c r="S557" s="87"/>
      <c r="T557" s="87"/>
      <c r="U557" s="87"/>
      <c r="V557" s="87"/>
      <c r="W557" s="87"/>
    </row>
    <row r="558" spans="1:23" x14ac:dyDescent="0.25">
      <c r="A558" s="23" t="s">
        <v>55</v>
      </c>
      <c r="B558" s="32">
        <v>53.3</v>
      </c>
      <c r="C558" s="22" t="s">
        <v>731</v>
      </c>
      <c r="D558" s="32">
        <f t="shared" si="36"/>
        <v>53.3</v>
      </c>
      <c r="E558" s="34">
        <v>8</v>
      </c>
      <c r="F558" s="35" t="s">
        <v>12</v>
      </c>
      <c r="G558" s="35" t="s">
        <v>218</v>
      </c>
      <c r="H558" s="35" t="s">
        <v>13</v>
      </c>
      <c r="I558" s="35" t="s">
        <v>52</v>
      </c>
      <c r="J558" s="65" t="s">
        <v>1162</v>
      </c>
      <c r="K558" s="21" t="s">
        <v>222</v>
      </c>
      <c r="L558" s="21" t="s">
        <v>818</v>
      </c>
      <c r="M558" s="21"/>
      <c r="N558" s="89"/>
      <c r="O558" s="89"/>
      <c r="P558" s="89"/>
      <c r="Q558" s="87"/>
      <c r="R558" s="87"/>
      <c r="S558" s="87"/>
      <c r="T558" s="87"/>
      <c r="U558" s="87"/>
      <c r="V558" s="87"/>
      <c r="W558" s="87"/>
    </row>
    <row r="559" spans="1:23" x14ac:dyDescent="0.25">
      <c r="A559" s="23" t="s">
        <v>55</v>
      </c>
      <c r="B559" s="32">
        <v>28.6</v>
      </c>
      <c r="C559" s="22" t="s">
        <v>731</v>
      </c>
      <c r="D559" s="32">
        <f t="shared" si="36"/>
        <v>28.6</v>
      </c>
      <c r="E559" s="34">
        <v>6</v>
      </c>
      <c r="F559" s="35" t="s">
        <v>36</v>
      </c>
      <c r="G559" s="35" t="s">
        <v>218</v>
      </c>
      <c r="H559" s="35" t="s">
        <v>13</v>
      </c>
      <c r="I559" s="35" t="s">
        <v>52</v>
      </c>
      <c r="J559" s="65" t="s">
        <v>1162</v>
      </c>
      <c r="K559" s="21" t="s">
        <v>222</v>
      </c>
      <c r="L559" s="21" t="s">
        <v>818</v>
      </c>
      <c r="M559" s="21"/>
      <c r="N559" s="89"/>
      <c r="O559" s="89"/>
      <c r="P559" s="89"/>
      <c r="Q559" s="87"/>
      <c r="R559" s="87"/>
      <c r="S559" s="87"/>
      <c r="T559" s="87"/>
      <c r="U559" s="87"/>
      <c r="V559" s="87"/>
      <c r="W559" s="87"/>
    </row>
    <row r="560" spans="1:23" x14ac:dyDescent="0.25">
      <c r="A560" s="23" t="s">
        <v>55</v>
      </c>
      <c r="B560" s="32">
        <v>2.4</v>
      </c>
      <c r="C560" s="22" t="s">
        <v>731</v>
      </c>
      <c r="D560" s="32">
        <f t="shared" si="36"/>
        <v>2.4</v>
      </c>
      <c r="E560" s="34">
        <v>4</v>
      </c>
      <c r="F560" s="35" t="s">
        <v>36</v>
      </c>
      <c r="G560" s="35" t="s">
        <v>218</v>
      </c>
      <c r="H560" s="35" t="s">
        <v>13</v>
      </c>
      <c r="I560" s="35" t="s">
        <v>52</v>
      </c>
      <c r="J560" s="65" t="s">
        <v>1162</v>
      </c>
      <c r="K560" s="21" t="s">
        <v>222</v>
      </c>
      <c r="L560" s="21" t="s">
        <v>818</v>
      </c>
      <c r="M560" s="21"/>
      <c r="N560" s="89"/>
      <c r="O560" s="89"/>
      <c r="P560" s="89"/>
      <c r="Q560" s="87"/>
      <c r="R560" s="87"/>
      <c r="S560" s="87"/>
      <c r="T560" s="87"/>
      <c r="U560" s="87"/>
      <c r="V560" s="87"/>
      <c r="W560" s="87"/>
    </row>
    <row r="561" spans="1:23" x14ac:dyDescent="0.25">
      <c r="A561" s="23" t="s">
        <v>55</v>
      </c>
      <c r="B561" s="32">
        <v>64</v>
      </c>
      <c r="C561" s="22" t="s">
        <v>731</v>
      </c>
      <c r="D561" s="32">
        <f t="shared" si="36"/>
        <v>64</v>
      </c>
      <c r="E561" s="25">
        <v>1</v>
      </c>
      <c r="F561" s="23" t="s">
        <v>12</v>
      </c>
      <c r="G561" s="23" t="s">
        <v>218</v>
      </c>
      <c r="H561" s="23" t="s">
        <v>13</v>
      </c>
      <c r="I561" s="23" t="s">
        <v>57</v>
      </c>
      <c r="J561" s="65" t="s">
        <v>1162</v>
      </c>
      <c r="K561" s="21" t="s">
        <v>222</v>
      </c>
      <c r="L561" s="21" t="s">
        <v>818</v>
      </c>
      <c r="M561" s="21"/>
      <c r="N561" s="89"/>
      <c r="O561" s="89"/>
      <c r="P561" s="89"/>
      <c r="Q561" s="87"/>
      <c r="R561" s="87"/>
      <c r="S561" s="87"/>
      <c r="T561" s="87"/>
      <c r="U561" s="87"/>
      <c r="V561" s="87"/>
      <c r="W561" s="87"/>
    </row>
    <row r="562" spans="1:23" x14ac:dyDescent="0.25">
      <c r="A562" s="23" t="s">
        <v>55</v>
      </c>
      <c r="B562" s="37">
        <v>42.5</v>
      </c>
      <c r="C562" s="22" t="s">
        <v>731</v>
      </c>
      <c r="D562" s="32">
        <f t="shared" si="36"/>
        <v>42.5</v>
      </c>
      <c r="E562" s="34">
        <v>6</v>
      </c>
      <c r="F562" s="23" t="s">
        <v>12</v>
      </c>
      <c r="G562" s="23" t="s">
        <v>218</v>
      </c>
      <c r="H562" s="23" t="s">
        <v>13</v>
      </c>
      <c r="I562" s="23" t="s">
        <v>74</v>
      </c>
      <c r="J562" s="65" t="s">
        <v>1162</v>
      </c>
      <c r="K562" s="21" t="s">
        <v>222</v>
      </c>
      <c r="L562" s="21" t="s">
        <v>818</v>
      </c>
      <c r="M562" s="21"/>
      <c r="N562" s="90"/>
      <c r="O562" s="90"/>
      <c r="P562" s="90"/>
      <c r="Q562" s="87"/>
      <c r="R562" s="87"/>
      <c r="S562" s="87"/>
      <c r="T562" s="87"/>
      <c r="U562" s="87"/>
      <c r="V562" s="87"/>
      <c r="W562" s="87"/>
    </row>
    <row r="563" spans="1:23" x14ac:dyDescent="0.25">
      <c r="A563" s="23" t="s">
        <v>55</v>
      </c>
      <c r="B563" s="32">
        <v>60.6</v>
      </c>
      <c r="C563" s="22" t="s">
        <v>731</v>
      </c>
      <c r="D563" s="32">
        <f t="shared" si="36"/>
        <v>60.6</v>
      </c>
      <c r="E563" s="34">
        <v>15</v>
      </c>
      <c r="F563" s="35" t="s">
        <v>12</v>
      </c>
      <c r="G563" s="35" t="s">
        <v>218</v>
      </c>
      <c r="H563" s="35" t="s">
        <v>13</v>
      </c>
      <c r="I563" s="35" t="s">
        <v>46</v>
      </c>
      <c r="J563" s="65" t="s">
        <v>1162</v>
      </c>
      <c r="K563" s="21" t="s">
        <v>222</v>
      </c>
      <c r="L563" s="21" t="s">
        <v>818</v>
      </c>
      <c r="M563" s="21"/>
      <c r="N563" s="89"/>
      <c r="O563" s="89"/>
      <c r="P563" s="89"/>
      <c r="Q563" s="87"/>
      <c r="R563" s="87"/>
      <c r="S563" s="87"/>
      <c r="T563" s="87"/>
      <c r="U563" s="87"/>
      <c r="V563" s="87"/>
      <c r="W563" s="87"/>
    </row>
    <row r="564" spans="1:23" x14ac:dyDescent="0.25">
      <c r="A564" s="23" t="s">
        <v>55</v>
      </c>
      <c r="B564" s="32">
        <v>69.599999999999994</v>
      </c>
      <c r="C564" s="22" t="s">
        <v>731</v>
      </c>
      <c r="D564" s="32">
        <f t="shared" si="36"/>
        <v>69.599999999999994</v>
      </c>
      <c r="E564" s="34">
        <v>10</v>
      </c>
      <c r="F564" s="23" t="s">
        <v>12</v>
      </c>
      <c r="G564" s="23" t="s">
        <v>218</v>
      </c>
      <c r="H564" s="23" t="s">
        <v>13</v>
      </c>
      <c r="I564" s="23" t="s">
        <v>29</v>
      </c>
      <c r="J564" s="65" t="s">
        <v>1162</v>
      </c>
      <c r="K564" s="21" t="s">
        <v>222</v>
      </c>
      <c r="L564" s="21" t="s">
        <v>818</v>
      </c>
      <c r="M564" s="21"/>
      <c r="N564" s="89"/>
      <c r="O564" s="89"/>
      <c r="P564" s="89"/>
      <c r="Q564" s="87"/>
      <c r="R564" s="87"/>
      <c r="S564" s="87"/>
      <c r="T564" s="87"/>
      <c r="U564" s="87"/>
      <c r="V564" s="87"/>
      <c r="W564" s="87"/>
    </row>
    <row r="565" spans="1:23" x14ac:dyDescent="0.25">
      <c r="A565" s="23" t="s">
        <v>55</v>
      </c>
      <c r="B565" s="32">
        <v>40.6</v>
      </c>
      <c r="C565" s="22" t="s">
        <v>731</v>
      </c>
      <c r="D565" s="32">
        <f t="shared" si="36"/>
        <v>40.6</v>
      </c>
      <c r="E565" s="34">
        <v>6</v>
      </c>
      <c r="F565" s="23" t="s">
        <v>12</v>
      </c>
      <c r="G565" s="23" t="s">
        <v>218</v>
      </c>
      <c r="H565" s="23" t="s">
        <v>13</v>
      </c>
      <c r="I565" s="23" t="s">
        <v>60</v>
      </c>
      <c r="J565" s="65" t="s">
        <v>1162</v>
      </c>
      <c r="K565" s="21" t="s">
        <v>222</v>
      </c>
      <c r="L565" s="21" t="s">
        <v>818</v>
      </c>
      <c r="M565" s="21"/>
      <c r="N565" s="89"/>
      <c r="O565" s="89"/>
      <c r="P565" s="89"/>
      <c r="Q565" s="87"/>
      <c r="R565" s="87"/>
      <c r="S565" s="87"/>
      <c r="T565" s="87"/>
      <c r="U565" s="87"/>
      <c r="V565" s="87"/>
      <c r="W565" s="87"/>
    </row>
    <row r="566" spans="1:23" x14ac:dyDescent="0.25">
      <c r="A566" s="23" t="s">
        <v>55</v>
      </c>
      <c r="B566" s="32">
        <v>36.200000000000003</v>
      </c>
      <c r="C566" s="22" t="s">
        <v>731</v>
      </c>
      <c r="D566" s="32">
        <f t="shared" si="36"/>
        <v>36.200000000000003</v>
      </c>
      <c r="E566" s="34">
        <v>6</v>
      </c>
      <c r="F566" s="23" t="s">
        <v>12</v>
      </c>
      <c r="G566" s="23" t="s">
        <v>218</v>
      </c>
      <c r="H566" s="23" t="s">
        <v>13</v>
      </c>
      <c r="I566" s="23" t="s">
        <v>60</v>
      </c>
      <c r="J566" s="65" t="s">
        <v>1162</v>
      </c>
      <c r="K566" s="21" t="s">
        <v>222</v>
      </c>
      <c r="L566" s="21" t="s">
        <v>818</v>
      </c>
      <c r="M566" s="21"/>
      <c r="N566" s="89"/>
      <c r="O566" s="89"/>
      <c r="P566" s="89"/>
      <c r="Q566" s="87"/>
      <c r="R566" s="87"/>
      <c r="S566" s="87"/>
      <c r="T566" s="87"/>
      <c r="U566" s="87"/>
      <c r="V566" s="87"/>
      <c r="W566" s="87"/>
    </row>
    <row r="567" spans="1:23" x14ac:dyDescent="0.25">
      <c r="A567" s="23" t="s">
        <v>55</v>
      </c>
      <c r="B567" s="37">
        <v>21.6</v>
      </c>
      <c r="C567" s="22" t="s">
        <v>731</v>
      </c>
      <c r="D567" s="32">
        <f t="shared" si="36"/>
        <v>21.6</v>
      </c>
      <c r="E567" s="34">
        <v>11</v>
      </c>
      <c r="F567" s="23" t="s">
        <v>15</v>
      </c>
      <c r="G567" s="23" t="s">
        <v>220</v>
      </c>
      <c r="H567" s="23" t="s">
        <v>13</v>
      </c>
      <c r="I567" s="23" t="s">
        <v>40</v>
      </c>
      <c r="J567" s="65" t="s">
        <v>1162</v>
      </c>
      <c r="K567" s="21" t="s">
        <v>222</v>
      </c>
      <c r="L567" s="21" t="s">
        <v>818</v>
      </c>
      <c r="M567" s="21"/>
      <c r="N567" s="90"/>
      <c r="O567" s="90"/>
      <c r="P567" s="90"/>
      <c r="Q567" s="87"/>
      <c r="R567" s="87"/>
      <c r="S567" s="87"/>
      <c r="T567" s="87"/>
      <c r="U567" s="87"/>
      <c r="V567" s="87"/>
      <c r="W567" s="87"/>
    </row>
    <row r="568" spans="1:23" x14ac:dyDescent="0.25">
      <c r="A568" s="23" t="s">
        <v>55</v>
      </c>
      <c r="B568" s="32">
        <v>33.200000000000003</v>
      </c>
      <c r="C568" s="22" t="s">
        <v>731</v>
      </c>
      <c r="D568" s="32">
        <f t="shared" si="36"/>
        <v>33.200000000000003</v>
      </c>
      <c r="E568" s="34">
        <v>24</v>
      </c>
      <c r="F568" s="35" t="s">
        <v>12</v>
      </c>
      <c r="G568" s="35" t="s">
        <v>218</v>
      </c>
      <c r="H568" s="35" t="s">
        <v>13</v>
      </c>
      <c r="I568" s="35" t="s">
        <v>77</v>
      </c>
      <c r="J568" s="65" t="s">
        <v>1162</v>
      </c>
      <c r="K568" s="21" t="s">
        <v>222</v>
      </c>
      <c r="L568" s="21" t="s">
        <v>818</v>
      </c>
      <c r="M568" s="21"/>
      <c r="N568" s="89"/>
      <c r="O568" s="89"/>
      <c r="P568" s="89"/>
      <c r="Q568" s="87"/>
      <c r="R568" s="87"/>
      <c r="S568" s="87"/>
      <c r="T568" s="87"/>
      <c r="U568" s="87"/>
      <c r="V568" s="87"/>
      <c r="W568" s="87"/>
    </row>
    <row r="569" spans="1:23" x14ac:dyDescent="0.25">
      <c r="A569" s="23" t="s">
        <v>55</v>
      </c>
      <c r="B569" s="32">
        <v>66.2</v>
      </c>
      <c r="C569" s="22" t="s">
        <v>731</v>
      </c>
      <c r="D569" s="32">
        <f t="shared" si="36"/>
        <v>66.2</v>
      </c>
      <c r="E569" s="34">
        <v>10</v>
      </c>
      <c r="F569" s="23" t="s">
        <v>12</v>
      </c>
      <c r="G569" s="23" t="s">
        <v>218</v>
      </c>
      <c r="H569" s="23" t="s">
        <v>13</v>
      </c>
      <c r="I569" s="23" t="s">
        <v>63</v>
      </c>
      <c r="J569" s="65" t="s">
        <v>1162</v>
      </c>
      <c r="K569" s="21" t="s">
        <v>222</v>
      </c>
      <c r="L569" s="21" t="s">
        <v>818</v>
      </c>
      <c r="M569" s="21"/>
      <c r="N569" s="89"/>
      <c r="O569" s="89"/>
      <c r="P569" s="89"/>
      <c r="Q569" s="87"/>
      <c r="R569" s="87"/>
      <c r="S569" s="87"/>
      <c r="T569" s="87"/>
      <c r="U569" s="87"/>
      <c r="V569" s="87"/>
      <c r="W569" s="87"/>
    </row>
    <row r="570" spans="1:23" x14ac:dyDescent="0.25">
      <c r="A570" s="23" t="s">
        <v>55</v>
      </c>
      <c r="B570" s="32">
        <v>68.2</v>
      </c>
      <c r="C570" s="22" t="s">
        <v>731</v>
      </c>
      <c r="D570" s="32">
        <f t="shared" si="36"/>
        <v>68.2</v>
      </c>
      <c r="E570" s="34">
        <v>7</v>
      </c>
      <c r="F570" s="23" t="s">
        <v>15</v>
      </c>
      <c r="G570" s="23" t="s">
        <v>220</v>
      </c>
      <c r="H570" s="23" t="s">
        <v>13</v>
      </c>
      <c r="I570" s="23" t="s">
        <v>27</v>
      </c>
      <c r="J570" s="65" t="s">
        <v>1162</v>
      </c>
      <c r="K570" s="21" t="s">
        <v>222</v>
      </c>
      <c r="L570" s="21" t="s">
        <v>818</v>
      </c>
      <c r="M570" s="21"/>
      <c r="N570" s="89"/>
      <c r="O570" s="89"/>
      <c r="P570" s="89"/>
      <c r="Q570" s="87"/>
      <c r="R570" s="87"/>
      <c r="S570" s="87"/>
      <c r="T570" s="87"/>
      <c r="U570" s="87"/>
      <c r="V570" s="87"/>
      <c r="W570" s="87"/>
    </row>
    <row r="571" spans="1:23" x14ac:dyDescent="0.25">
      <c r="A571" s="23" t="s">
        <v>55</v>
      </c>
      <c r="B571" s="32">
        <f>(40+60)/2</f>
        <v>50</v>
      </c>
      <c r="C571" s="22" t="s">
        <v>731</v>
      </c>
      <c r="D571" s="32">
        <f t="shared" si="36"/>
        <v>50</v>
      </c>
      <c r="E571" s="25">
        <v>1</v>
      </c>
      <c r="F571" s="21" t="s">
        <v>716</v>
      </c>
      <c r="G571" s="21" t="s">
        <v>731</v>
      </c>
      <c r="H571" s="23" t="s">
        <v>725</v>
      </c>
      <c r="I571" s="23" t="s">
        <v>1169</v>
      </c>
      <c r="J571" s="23" t="s">
        <v>1168</v>
      </c>
      <c r="K571" s="21" t="s">
        <v>1170</v>
      </c>
      <c r="L571" s="21" t="s">
        <v>740</v>
      </c>
      <c r="M571" s="21"/>
      <c r="N571" s="89"/>
      <c r="O571" s="89"/>
      <c r="P571" s="89"/>
      <c r="Q571" s="87"/>
      <c r="R571" s="87"/>
      <c r="S571" s="87"/>
      <c r="T571" s="87"/>
      <c r="U571" s="87"/>
      <c r="V571" s="87"/>
      <c r="W571" s="87"/>
    </row>
    <row r="572" spans="1:23" x14ac:dyDescent="0.25">
      <c r="A572" s="21" t="s">
        <v>55</v>
      </c>
      <c r="B572" s="33">
        <v>60</v>
      </c>
      <c r="C572" s="22" t="s">
        <v>731</v>
      </c>
      <c r="D572" s="32">
        <f t="shared" si="36"/>
        <v>60</v>
      </c>
      <c r="E572" s="25">
        <v>1</v>
      </c>
      <c r="F572" s="21" t="s">
        <v>716</v>
      </c>
      <c r="G572" s="21" t="s">
        <v>731</v>
      </c>
      <c r="H572" s="23" t="s">
        <v>725</v>
      </c>
      <c r="I572" s="21" t="s">
        <v>739</v>
      </c>
      <c r="J572" s="21" t="s">
        <v>738</v>
      </c>
      <c r="K572" s="21"/>
      <c r="L572" s="21"/>
      <c r="M572" s="21" t="s">
        <v>875</v>
      </c>
      <c r="N572" s="98"/>
      <c r="O572" s="98"/>
      <c r="P572" s="98"/>
      <c r="Q572" s="87"/>
      <c r="R572" s="87"/>
      <c r="S572" s="87"/>
      <c r="T572" s="98"/>
      <c r="U572" s="87"/>
      <c r="V572" s="87"/>
      <c r="W572" s="87"/>
    </row>
    <row r="573" spans="1:23" x14ac:dyDescent="0.25">
      <c r="A573" s="23" t="s">
        <v>55</v>
      </c>
      <c r="B573" s="32">
        <v>70</v>
      </c>
      <c r="C573" s="22" t="s">
        <v>731</v>
      </c>
      <c r="D573" s="32">
        <f t="shared" si="36"/>
        <v>70</v>
      </c>
      <c r="E573" s="34">
        <v>9</v>
      </c>
      <c r="F573" s="35" t="s">
        <v>12</v>
      </c>
      <c r="G573" s="35" t="s">
        <v>218</v>
      </c>
      <c r="H573" s="35" t="s">
        <v>13</v>
      </c>
      <c r="I573" s="35" t="s">
        <v>221</v>
      </c>
      <c r="J573" s="65" t="s">
        <v>1162</v>
      </c>
      <c r="K573" s="21" t="s">
        <v>222</v>
      </c>
      <c r="L573" s="21" t="s">
        <v>818</v>
      </c>
      <c r="M573" s="21"/>
      <c r="N573" s="89"/>
      <c r="O573" s="89"/>
      <c r="P573" s="89"/>
      <c r="Q573" s="87"/>
      <c r="R573" s="87"/>
      <c r="S573" s="87"/>
      <c r="T573" s="87"/>
      <c r="U573" s="87"/>
      <c r="V573" s="87"/>
      <c r="W573" s="87"/>
    </row>
    <row r="574" spans="1:23" x14ac:dyDescent="0.25">
      <c r="A574" s="23" t="s">
        <v>55</v>
      </c>
      <c r="B574" s="32">
        <v>59.2</v>
      </c>
      <c r="C574" s="22" t="s">
        <v>731</v>
      </c>
      <c r="D574" s="32">
        <f t="shared" si="36"/>
        <v>59.2</v>
      </c>
      <c r="E574" s="34">
        <v>11</v>
      </c>
      <c r="F574" s="35" t="s">
        <v>15</v>
      </c>
      <c r="G574" s="35" t="s">
        <v>218</v>
      </c>
      <c r="H574" s="35" t="s">
        <v>13</v>
      </c>
      <c r="I574" s="35" t="s">
        <v>221</v>
      </c>
      <c r="J574" s="65" t="s">
        <v>1162</v>
      </c>
      <c r="K574" s="21" t="s">
        <v>222</v>
      </c>
      <c r="L574" s="21" t="s">
        <v>818</v>
      </c>
      <c r="M574" s="21"/>
      <c r="N574" s="89"/>
      <c r="O574" s="89"/>
      <c r="P574" s="89"/>
      <c r="Q574" s="87"/>
      <c r="R574" s="87"/>
      <c r="S574" s="87"/>
      <c r="T574" s="87"/>
      <c r="U574" s="87"/>
      <c r="V574" s="87"/>
      <c r="W574" s="87"/>
    </row>
    <row r="575" spans="1:23" x14ac:dyDescent="0.25">
      <c r="A575" s="23" t="s">
        <v>55</v>
      </c>
      <c r="B575" s="32">
        <v>26.9</v>
      </c>
      <c r="C575" s="22" t="s">
        <v>731</v>
      </c>
      <c r="D575" s="32">
        <f t="shared" si="36"/>
        <v>26.9</v>
      </c>
      <c r="E575" s="34">
        <v>2</v>
      </c>
      <c r="F575" s="35" t="s">
        <v>15</v>
      </c>
      <c r="G575" s="35" t="s">
        <v>218</v>
      </c>
      <c r="H575" s="35" t="s">
        <v>13</v>
      </c>
      <c r="I575" s="35" t="s">
        <v>81</v>
      </c>
      <c r="J575" s="65" t="s">
        <v>1162</v>
      </c>
      <c r="K575" s="21" t="s">
        <v>222</v>
      </c>
      <c r="L575" s="21" t="s">
        <v>818</v>
      </c>
      <c r="M575" s="21"/>
      <c r="N575" s="89"/>
      <c r="O575" s="89"/>
      <c r="P575" s="89"/>
      <c r="Q575" s="87"/>
      <c r="R575" s="87"/>
      <c r="S575" s="87"/>
      <c r="T575" s="87"/>
      <c r="U575" s="87"/>
      <c r="V575" s="87"/>
      <c r="W575" s="87"/>
    </row>
    <row r="576" spans="1:23" x14ac:dyDescent="0.25">
      <c r="A576" s="23" t="s">
        <v>55</v>
      </c>
      <c r="B576" s="32">
        <v>66.8</v>
      </c>
      <c r="C576" s="22" t="s">
        <v>731</v>
      </c>
      <c r="D576" s="32">
        <f t="shared" si="36"/>
        <v>66.8</v>
      </c>
      <c r="E576" s="34">
        <v>16</v>
      </c>
      <c r="F576" s="35" t="s">
        <v>12</v>
      </c>
      <c r="G576" s="35" t="s">
        <v>218</v>
      </c>
      <c r="H576" s="35" t="s">
        <v>13</v>
      </c>
      <c r="I576" s="35" t="s">
        <v>48</v>
      </c>
      <c r="J576" s="65" t="s">
        <v>1162</v>
      </c>
      <c r="K576" s="21" t="s">
        <v>222</v>
      </c>
      <c r="L576" s="21" t="s">
        <v>818</v>
      </c>
      <c r="M576" s="21"/>
      <c r="N576" s="89"/>
      <c r="O576" s="89"/>
      <c r="P576" s="89"/>
      <c r="Q576" s="87"/>
      <c r="R576" s="87"/>
      <c r="S576" s="87"/>
      <c r="T576" s="87"/>
      <c r="U576" s="87"/>
      <c r="V576" s="87"/>
      <c r="W576" s="87"/>
    </row>
    <row r="577" spans="1:23" x14ac:dyDescent="0.25">
      <c r="A577" s="23" t="s">
        <v>55</v>
      </c>
      <c r="B577" s="32">
        <v>49.9</v>
      </c>
      <c r="C577" s="22" t="s">
        <v>731</v>
      </c>
      <c r="D577" s="32">
        <f t="shared" si="36"/>
        <v>49.9</v>
      </c>
      <c r="E577" s="34">
        <v>8</v>
      </c>
      <c r="F577" s="35" t="s">
        <v>12</v>
      </c>
      <c r="G577" s="35" t="s">
        <v>218</v>
      </c>
      <c r="H577" s="35" t="s">
        <v>13</v>
      </c>
      <c r="I577" s="35" t="s">
        <v>48</v>
      </c>
      <c r="J577" s="65" t="s">
        <v>1162</v>
      </c>
      <c r="K577" s="21" t="s">
        <v>222</v>
      </c>
      <c r="L577" s="21" t="s">
        <v>818</v>
      </c>
      <c r="M577" s="21"/>
      <c r="N577" s="89"/>
      <c r="O577" s="89"/>
      <c r="P577" s="89"/>
      <c r="Q577" s="87"/>
      <c r="R577" s="87"/>
      <c r="S577" s="87"/>
      <c r="T577" s="87"/>
      <c r="U577" s="87"/>
      <c r="V577" s="87"/>
      <c r="W577" s="87"/>
    </row>
    <row r="578" spans="1:23" x14ac:dyDescent="0.25">
      <c r="A578" s="21" t="s">
        <v>55</v>
      </c>
      <c r="B578" s="22">
        <v>43</v>
      </c>
      <c r="C578" s="22" t="s">
        <v>731</v>
      </c>
      <c r="D578" s="32">
        <f t="shared" si="36"/>
        <v>43</v>
      </c>
      <c r="E578" s="25">
        <v>1</v>
      </c>
      <c r="F578" s="21" t="s">
        <v>716</v>
      </c>
      <c r="G578" s="21" t="s">
        <v>731</v>
      </c>
      <c r="H578" s="23" t="s">
        <v>725</v>
      </c>
      <c r="I578" s="21" t="s">
        <v>791</v>
      </c>
      <c r="J578" s="21" t="s">
        <v>800</v>
      </c>
      <c r="K578" s="21" t="s">
        <v>809</v>
      </c>
      <c r="L578" s="21"/>
      <c r="M578" s="21" t="s">
        <v>876</v>
      </c>
      <c r="N578" s="87"/>
      <c r="O578" s="87"/>
      <c r="P578" s="87"/>
      <c r="Q578" s="87"/>
      <c r="R578" s="87"/>
      <c r="S578" s="87"/>
      <c r="T578" s="87"/>
      <c r="U578" s="87"/>
      <c r="V578" s="87">
        <v>0</v>
      </c>
      <c r="W578" s="87"/>
    </row>
    <row r="579" spans="1:23" x14ac:dyDescent="0.25">
      <c r="A579" s="23" t="s">
        <v>55</v>
      </c>
      <c r="B579" s="32">
        <v>75</v>
      </c>
      <c r="C579" s="22" t="s">
        <v>731</v>
      </c>
      <c r="D579" s="32">
        <f t="shared" si="36"/>
        <v>75</v>
      </c>
      <c r="E579" s="34">
        <v>5</v>
      </c>
      <c r="F579" s="35" t="s">
        <v>12</v>
      </c>
      <c r="G579" s="35" t="s">
        <v>218</v>
      </c>
      <c r="H579" s="35" t="s">
        <v>13</v>
      </c>
      <c r="I579" s="35" t="s">
        <v>78</v>
      </c>
      <c r="J579" s="65" t="s">
        <v>1162</v>
      </c>
      <c r="K579" s="21" t="s">
        <v>222</v>
      </c>
      <c r="L579" s="21" t="s">
        <v>818</v>
      </c>
      <c r="M579" s="21"/>
      <c r="N579" s="89"/>
      <c r="O579" s="89"/>
      <c r="P579" s="89"/>
      <c r="Q579" s="87"/>
      <c r="R579" s="87"/>
      <c r="S579" s="87"/>
      <c r="T579" s="87"/>
      <c r="U579" s="87"/>
      <c r="V579" s="87"/>
      <c r="W579" s="87"/>
    </row>
    <row r="580" spans="1:23" x14ac:dyDescent="0.25">
      <c r="A580" s="23" t="s">
        <v>55</v>
      </c>
      <c r="B580" s="32">
        <v>39.700000000000003</v>
      </c>
      <c r="C580" s="22" t="s">
        <v>731</v>
      </c>
      <c r="D580" s="32">
        <f t="shared" si="36"/>
        <v>39.700000000000003</v>
      </c>
      <c r="E580" s="34">
        <v>5</v>
      </c>
      <c r="F580" s="35" t="s">
        <v>12</v>
      </c>
      <c r="G580" s="35" t="s">
        <v>218</v>
      </c>
      <c r="H580" s="35" t="s">
        <v>13</v>
      </c>
      <c r="I580" s="35" t="s">
        <v>78</v>
      </c>
      <c r="J580" s="65" t="s">
        <v>1162</v>
      </c>
      <c r="K580" s="21" t="s">
        <v>222</v>
      </c>
      <c r="L580" s="21" t="s">
        <v>818</v>
      </c>
      <c r="M580" s="21"/>
      <c r="N580" s="89"/>
      <c r="O580" s="89"/>
      <c r="P580" s="89"/>
      <c r="Q580" s="87"/>
      <c r="R580" s="87"/>
      <c r="S580" s="87"/>
      <c r="T580" s="87"/>
      <c r="U580" s="87"/>
      <c r="V580" s="87"/>
      <c r="W580" s="87"/>
    </row>
    <row r="581" spans="1:23" x14ac:dyDescent="0.25">
      <c r="A581" s="21" t="s">
        <v>55</v>
      </c>
      <c r="B581" s="22">
        <v>60</v>
      </c>
      <c r="C581" s="22" t="s">
        <v>731</v>
      </c>
      <c r="D581" s="32">
        <f t="shared" si="36"/>
        <v>60</v>
      </c>
      <c r="E581" s="25">
        <v>1</v>
      </c>
      <c r="F581" s="21" t="s">
        <v>716</v>
      </c>
      <c r="G581" s="21" t="s">
        <v>731</v>
      </c>
      <c r="H581" s="23" t="s">
        <v>725</v>
      </c>
      <c r="I581" s="21" t="s">
        <v>772</v>
      </c>
      <c r="J581" s="21" t="s">
        <v>771</v>
      </c>
      <c r="K581" s="21" t="s">
        <v>878</v>
      </c>
      <c r="L581" s="21"/>
      <c r="M581" s="21" t="s">
        <v>877</v>
      </c>
      <c r="N581" s="87"/>
      <c r="O581" s="87"/>
      <c r="P581" s="87"/>
      <c r="Q581" s="87"/>
      <c r="R581" s="87"/>
      <c r="S581" s="87"/>
      <c r="T581" s="87"/>
      <c r="U581" s="87"/>
      <c r="V581" s="87"/>
      <c r="W581" s="87"/>
    </row>
    <row r="582" spans="1:23" x14ac:dyDescent="0.25">
      <c r="A582" s="23" t="s">
        <v>55</v>
      </c>
      <c r="B582" s="32">
        <v>39</v>
      </c>
      <c r="C582" s="22" t="s">
        <v>731</v>
      </c>
      <c r="D582" s="32">
        <f t="shared" si="36"/>
        <v>39</v>
      </c>
      <c r="E582" s="34">
        <v>6</v>
      </c>
      <c r="F582" s="23" t="s">
        <v>12</v>
      </c>
      <c r="G582" s="23" t="s">
        <v>218</v>
      </c>
      <c r="H582" s="23" t="s">
        <v>13</v>
      </c>
      <c r="I582" s="23" t="s">
        <v>62</v>
      </c>
      <c r="J582" s="65" t="s">
        <v>1162</v>
      </c>
      <c r="K582" s="21" t="s">
        <v>222</v>
      </c>
      <c r="L582" s="21" t="s">
        <v>818</v>
      </c>
      <c r="M582" s="21"/>
      <c r="N582" s="89"/>
      <c r="O582" s="89"/>
      <c r="P582" s="89"/>
      <c r="Q582" s="87"/>
      <c r="R582" s="87"/>
      <c r="S582" s="87"/>
      <c r="T582" s="87"/>
      <c r="U582" s="87"/>
      <c r="V582" s="87"/>
      <c r="W582" s="87"/>
    </row>
    <row r="583" spans="1:23" x14ac:dyDescent="0.25">
      <c r="A583" s="23" t="s">
        <v>55</v>
      </c>
      <c r="B583" s="32">
        <v>31</v>
      </c>
      <c r="C583" s="22" t="s">
        <v>731</v>
      </c>
      <c r="D583" s="32">
        <f t="shared" si="36"/>
        <v>31</v>
      </c>
      <c r="E583" s="34">
        <v>7</v>
      </c>
      <c r="F583" s="35" t="s">
        <v>12</v>
      </c>
      <c r="G583" s="35" t="s">
        <v>218</v>
      </c>
      <c r="H583" s="35" t="s">
        <v>13</v>
      </c>
      <c r="I583" s="35" t="s">
        <v>50</v>
      </c>
      <c r="J583" s="65" t="s">
        <v>1162</v>
      </c>
      <c r="K583" s="21" t="s">
        <v>222</v>
      </c>
      <c r="L583" s="21" t="s">
        <v>818</v>
      </c>
      <c r="M583" s="21"/>
      <c r="N583" s="89"/>
      <c r="O583" s="89"/>
      <c r="P583" s="89"/>
      <c r="Q583" s="87"/>
      <c r="R583" s="87"/>
      <c r="S583" s="87"/>
      <c r="T583" s="87"/>
      <c r="U583" s="87"/>
      <c r="V583" s="87"/>
      <c r="W583" s="87"/>
    </row>
    <row r="584" spans="1:23" x14ac:dyDescent="0.25">
      <c r="A584" s="23" t="s">
        <v>55</v>
      </c>
      <c r="B584" s="32">
        <v>60</v>
      </c>
      <c r="C584" s="22" t="s">
        <v>731</v>
      </c>
      <c r="D584" s="32">
        <f t="shared" si="36"/>
        <v>60</v>
      </c>
      <c r="E584" s="34">
        <v>7</v>
      </c>
      <c r="F584" s="35" t="s">
        <v>12</v>
      </c>
      <c r="G584" s="35" t="s">
        <v>218</v>
      </c>
      <c r="H584" s="35" t="s">
        <v>13</v>
      </c>
      <c r="I584" s="35" t="s">
        <v>50</v>
      </c>
      <c r="J584" s="65" t="s">
        <v>1162</v>
      </c>
      <c r="K584" s="21" t="s">
        <v>222</v>
      </c>
      <c r="L584" s="21" t="s">
        <v>818</v>
      </c>
      <c r="M584" s="21"/>
      <c r="N584" s="89"/>
      <c r="O584" s="89"/>
      <c r="P584" s="89"/>
      <c r="Q584" s="87"/>
      <c r="R584" s="87"/>
      <c r="S584" s="87"/>
      <c r="T584" s="87"/>
      <c r="U584" s="87"/>
      <c r="V584" s="87"/>
      <c r="W584" s="87"/>
    </row>
    <row r="585" spans="1:23" x14ac:dyDescent="0.25">
      <c r="A585" s="23" t="s">
        <v>55</v>
      </c>
      <c r="B585" s="32">
        <v>52.9</v>
      </c>
      <c r="C585" s="22" t="s">
        <v>731</v>
      </c>
      <c r="D585" s="32">
        <f t="shared" si="36"/>
        <v>52.9</v>
      </c>
      <c r="E585" s="34">
        <v>6</v>
      </c>
      <c r="F585" s="23" t="s">
        <v>12</v>
      </c>
      <c r="G585" s="23" t="s">
        <v>220</v>
      </c>
      <c r="H585" s="23" t="s">
        <v>13</v>
      </c>
      <c r="I585" s="23" t="s">
        <v>34</v>
      </c>
      <c r="J585" s="65" t="s">
        <v>1162</v>
      </c>
      <c r="K585" s="21" t="s">
        <v>222</v>
      </c>
      <c r="L585" s="21" t="s">
        <v>818</v>
      </c>
      <c r="M585" s="21"/>
      <c r="N585" s="89"/>
      <c r="O585" s="89"/>
      <c r="P585" s="89"/>
      <c r="Q585" s="87"/>
      <c r="R585" s="87"/>
      <c r="S585" s="87"/>
      <c r="T585" s="87"/>
      <c r="U585" s="87"/>
      <c r="V585" s="87"/>
      <c r="W585" s="87"/>
    </row>
    <row r="586" spans="1:23" x14ac:dyDescent="0.25">
      <c r="A586" s="23" t="s">
        <v>55</v>
      </c>
      <c r="B586" s="32">
        <v>64.099999999999994</v>
      </c>
      <c r="C586" s="22" t="s">
        <v>731</v>
      </c>
      <c r="D586" s="32">
        <f t="shared" si="36"/>
        <v>64.099999999999994</v>
      </c>
      <c r="E586" s="34">
        <v>6</v>
      </c>
      <c r="F586" s="23" t="s">
        <v>12</v>
      </c>
      <c r="G586" s="23" t="s">
        <v>220</v>
      </c>
      <c r="H586" s="23" t="s">
        <v>13</v>
      </c>
      <c r="I586" s="23" t="s">
        <v>34</v>
      </c>
      <c r="J586" s="65" t="s">
        <v>1162</v>
      </c>
      <c r="K586" s="21" t="s">
        <v>222</v>
      </c>
      <c r="L586" s="21" t="s">
        <v>818</v>
      </c>
      <c r="M586" s="21"/>
      <c r="N586" s="89"/>
      <c r="O586" s="89"/>
      <c r="P586" s="89"/>
      <c r="Q586" s="87"/>
      <c r="R586" s="87"/>
      <c r="S586" s="87"/>
      <c r="T586" s="87"/>
      <c r="U586" s="87"/>
      <c r="V586" s="87"/>
      <c r="W586" s="87"/>
    </row>
    <row r="587" spans="1:23" x14ac:dyDescent="0.25">
      <c r="A587" s="23" t="s">
        <v>55</v>
      </c>
      <c r="B587" s="32">
        <v>40</v>
      </c>
      <c r="C587" s="22" t="s">
        <v>731</v>
      </c>
      <c r="D587" s="32">
        <f t="shared" si="36"/>
        <v>40</v>
      </c>
      <c r="E587" s="34">
        <v>25</v>
      </c>
      <c r="F587" s="35" t="s">
        <v>15</v>
      </c>
      <c r="G587" s="35" t="s">
        <v>218</v>
      </c>
      <c r="H587" s="35" t="s">
        <v>13</v>
      </c>
      <c r="I587" s="35" t="s">
        <v>51</v>
      </c>
      <c r="J587" s="65" t="s">
        <v>1162</v>
      </c>
      <c r="K587" s="21" t="s">
        <v>222</v>
      </c>
      <c r="L587" s="21" t="s">
        <v>818</v>
      </c>
      <c r="M587" s="21"/>
      <c r="N587" s="89"/>
      <c r="O587" s="89"/>
      <c r="P587" s="89"/>
      <c r="Q587" s="87"/>
      <c r="R587" s="87"/>
      <c r="S587" s="87"/>
      <c r="T587" s="87"/>
      <c r="U587" s="87"/>
      <c r="V587" s="87"/>
      <c r="W587" s="87"/>
    </row>
    <row r="588" spans="1:23" x14ac:dyDescent="0.25">
      <c r="A588" s="21" t="s">
        <v>55</v>
      </c>
      <c r="B588" s="33">
        <f>(10+20)/2</f>
        <v>15</v>
      </c>
      <c r="C588" s="22" t="s">
        <v>731</v>
      </c>
      <c r="D588" s="32">
        <f t="shared" si="36"/>
        <v>15</v>
      </c>
      <c r="E588" s="25">
        <v>1</v>
      </c>
      <c r="F588" s="21" t="s">
        <v>716</v>
      </c>
      <c r="G588" s="21" t="s">
        <v>731</v>
      </c>
      <c r="H588" s="23" t="s">
        <v>725</v>
      </c>
      <c r="I588" s="21" t="s">
        <v>966</v>
      </c>
      <c r="J588" s="24" t="s">
        <v>740</v>
      </c>
      <c r="K588" s="21" t="s">
        <v>976</v>
      </c>
      <c r="L588" s="21"/>
      <c r="M588" s="21" t="s">
        <v>883</v>
      </c>
      <c r="N588" s="100"/>
      <c r="O588" s="100"/>
      <c r="P588" s="100"/>
      <c r="Q588" s="87"/>
      <c r="R588" s="87"/>
      <c r="S588" s="87"/>
      <c r="T588" s="87"/>
      <c r="U588" s="87"/>
      <c r="V588" s="87"/>
      <c r="W588" s="87"/>
    </row>
    <row r="589" spans="1:23" x14ac:dyDescent="0.25">
      <c r="A589" s="25" t="s">
        <v>55</v>
      </c>
      <c r="B589" s="27">
        <f>(50+60)/2</f>
        <v>55</v>
      </c>
      <c r="C589" s="22" t="s">
        <v>731</v>
      </c>
      <c r="D589" s="32">
        <f t="shared" si="36"/>
        <v>55</v>
      </c>
      <c r="E589" s="25">
        <v>1</v>
      </c>
      <c r="F589" s="25" t="s">
        <v>716</v>
      </c>
      <c r="G589" s="25" t="s">
        <v>731</v>
      </c>
      <c r="H589" s="43" t="s">
        <v>725</v>
      </c>
      <c r="I589" s="25" t="s">
        <v>743</v>
      </c>
      <c r="J589" s="25" t="s">
        <v>742</v>
      </c>
      <c r="K589" s="25" t="s">
        <v>889</v>
      </c>
      <c r="L589" s="21"/>
      <c r="M589" s="21" t="s">
        <v>890</v>
      </c>
      <c r="N589" s="88"/>
      <c r="O589" s="88"/>
      <c r="P589" s="88"/>
      <c r="Q589" s="88"/>
      <c r="R589" s="88"/>
      <c r="S589" s="88"/>
      <c r="T589" s="88"/>
      <c r="U589" s="88"/>
      <c r="V589" s="88"/>
      <c r="W589" s="88"/>
    </row>
    <row r="590" spans="1:23" x14ac:dyDescent="0.25">
      <c r="A590" s="23" t="s">
        <v>55</v>
      </c>
      <c r="B590" s="32">
        <v>49.2</v>
      </c>
      <c r="C590" s="22" t="s">
        <v>731</v>
      </c>
      <c r="D590" s="32">
        <f t="shared" si="36"/>
        <v>49.2</v>
      </c>
      <c r="E590" s="34">
        <v>6</v>
      </c>
      <c r="F590" s="23" t="s">
        <v>15</v>
      </c>
      <c r="G590" s="23" t="s">
        <v>218</v>
      </c>
      <c r="H590" s="23" t="s">
        <v>13</v>
      </c>
      <c r="I590" s="23" t="s">
        <v>38</v>
      </c>
      <c r="J590" s="65" t="s">
        <v>1162</v>
      </c>
      <c r="K590" s="21" t="s">
        <v>222</v>
      </c>
      <c r="L590" s="21" t="s">
        <v>818</v>
      </c>
      <c r="M590" s="21"/>
      <c r="N590" s="89"/>
      <c r="O590" s="89"/>
      <c r="P590" s="89"/>
      <c r="Q590" s="87"/>
      <c r="R590" s="87"/>
      <c r="S590" s="87"/>
      <c r="T590" s="87"/>
      <c r="U590" s="87"/>
      <c r="V590" s="87"/>
      <c r="W590" s="87"/>
    </row>
    <row r="591" spans="1:23" x14ac:dyDescent="0.25">
      <c r="A591" s="23" t="s">
        <v>55</v>
      </c>
      <c r="B591" s="32">
        <v>75.2</v>
      </c>
      <c r="C591" s="22" t="s">
        <v>731</v>
      </c>
      <c r="D591" s="32">
        <f t="shared" si="36"/>
        <v>75.2</v>
      </c>
      <c r="E591" s="34">
        <v>1</v>
      </c>
      <c r="F591" s="35" t="s">
        <v>12</v>
      </c>
      <c r="G591" s="35" t="s">
        <v>218</v>
      </c>
      <c r="H591" s="35" t="s">
        <v>13</v>
      </c>
      <c r="I591" s="35" t="s">
        <v>80</v>
      </c>
      <c r="J591" s="65" t="s">
        <v>1162</v>
      </c>
      <c r="K591" s="21" t="s">
        <v>222</v>
      </c>
      <c r="L591" s="21" t="s">
        <v>818</v>
      </c>
      <c r="M591" s="21"/>
      <c r="N591" s="89"/>
      <c r="O591" s="89"/>
      <c r="P591" s="89"/>
      <c r="Q591" s="87"/>
      <c r="R591" s="87"/>
      <c r="S591" s="87"/>
      <c r="T591" s="87"/>
      <c r="U591" s="87"/>
      <c r="V591" s="87"/>
      <c r="W591" s="87"/>
    </row>
    <row r="592" spans="1:23" x14ac:dyDescent="0.25">
      <c r="A592" s="23" t="s">
        <v>55</v>
      </c>
      <c r="B592" s="32">
        <v>50.6</v>
      </c>
      <c r="C592" s="22" t="s">
        <v>731</v>
      </c>
      <c r="D592" s="32">
        <f t="shared" si="36"/>
        <v>50.6</v>
      </c>
      <c r="E592" s="34">
        <v>4</v>
      </c>
      <c r="F592" s="35" t="s">
        <v>12</v>
      </c>
      <c r="G592" s="35" t="s">
        <v>218</v>
      </c>
      <c r="H592" s="35" t="s">
        <v>13</v>
      </c>
      <c r="I592" s="35" t="s">
        <v>80</v>
      </c>
      <c r="J592" s="65" t="s">
        <v>1162</v>
      </c>
      <c r="K592" s="21" t="s">
        <v>222</v>
      </c>
      <c r="L592" s="21" t="s">
        <v>818</v>
      </c>
      <c r="M592" s="21"/>
      <c r="N592" s="89"/>
      <c r="O592" s="89"/>
      <c r="P592" s="89"/>
      <c r="Q592" s="87"/>
      <c r="R592" s="87"/>
      <c r="S592" s="87"/>
      <c r="T592" s="87"/>
      <c r="U592" s="87"/>
      <c r="V592" s="87"/>
      <c r="W592" s="87"/>
    </row>
    <row r="593" spans="1:23" x14ac:dyDescent="0.25">
      <c r="A593" s="23" t="s">
        <v>55</v>
      </c>
      <c r="B593" s="32">
        <v>70</v>
      </c>
      <c r="C593" s="22" t="s">
        <v>731</v>
      </c>
      <c r="D593" s="32">
        <f t="shared" si="36"/>
        <v>70</v>
      </c>
      <c r="E593" s="34">
        <v>8</v>
      </c>
      <c r="F593" s="23" t="s">
        <v>12</v>
      </c>
      <c r="G593" s="23" t="s">
        <v>218</v>
      </c>
      <c r="H593" s="23" t="s">
        <v>13</v>
      </c>
      <c r="I593" s="23" t="s">
        <v>72</v>
      </c>
      <c r="J593" s="65" t="s">
        <v>1162</v>
      </c>
      <c r="K593" s="21" t="s">
        <v>222</v>
      </c>
      <c r="L593" s="21" t="s">
        <v>818</v>
      </c>
      <c r="M593" s="21"/>
      <c r="N593" s="89"/>
      <c r="O593" s="89"/>
      <c r="P593" s="89"/>
      <c r="Q593" s="87"/>
      <c r="R593" s="87"/>
      <c r="S593" s="87"/>
      <c r="T593" s="87"/>
      <c r="U593" s="87"/>
      <c r="V593" s="87"/>
      <c r="W593" s="87"/>
    </row>
    <row r="594" spans="1:23" x14ac:dyDescent="0.25">
      <c r="A594" s="23" t="s">
        <v>55</v>
      </c>
      <c r="B594" s="32">
        <v>58.1</v>
      </c>
      <c r="C594" s="22" t="s">
        <v>731</v>
      </c>
      <c r="D594" s="32">
        <f t="shared" si="36"/>
        <v>58.1</v>
      </c>
      <c r="E594" s="34">
        <v>8</v>
      </c>
      <c r="F594" s="23" t="s">
        <v>12</v>
      </c>
      <c r="G594" s="23" t="s">
        <v>218</v>
      </c>
      <c r="H594" s="23" t="s">
        <v>13</v>
      </c>
      <c r="I594" s="23" t="s">
        <v>72</v>
      </c>
      <c r="J594" s="65" t="s">
        <v>1162</v>
      </c>
      <c r="K594" s="21" t="s">
        <v>222</v>
      </c>
      <c r="L594" s="21" t="s">
        <v>818</v>
      </c>
      <c r="M594" s="21"/>
      <c r="N594" s="89"/>
      <c r="O594" s="89"/>
      <c r="P594" s="89"/>
      <c r="Q594" s="87"/>
      <c r="R594" s="87"/>
      <c r="S594" s="87"/>
      <c r="T594" s="87"/>
      <c r="U594" s="87"/>
      <c r="V594" s="87"/>
      <c r="W594" s="87"/>
    </row>
    <row r="595" spans="1:23" x14ac:dyDescent="0.25">
      <c r="A595" s="23" t="s">
        <v>55</v>
      </c>
      <c r="B595" s="32">
        <v>37.200000000000003</v>
      </c>
      <c r="C595" s="22" t="s">
        <v>731</v>
      </c>
      <c r="D595" s="32">
        <f t="shared" si="36"/>
        <v>37.200000000000003</v>
      </c>
      <c r="E595" s="34">
        <v>8</v>
      </c>
      <c r="F595" s="23" t="s">
        <v>12</v>
      </c>
      <c r="G595" s="23" t="s">
        <v>218</v>
      </c>
      <c r="H595" s="23" t="s">
        <v>13</v>
      </c>
      <c r="I595" s="23" t="s">
        <v>72</v>
      </c>
      <c r="J595" s="65" t="s">
        <v>1162</v>
      </c>
      <c r="K595" s="21" t="s">
        <v>222</v>
      </c>
      <c r="L595" s="21" t="s">
        <v>818</v>
      </c>
      <c r="M595" s="21"/>
      <c r="N595" s="89"/>
      <c r="O595" s="89"/>
      <c r="P595" s="89"/>
      <c r="Q595" s="87"/>
      <c r="R595" s="87"/>
      <c r="S595" s="87"/>
      <c r="T595" s="87"/>
      <c r="U595" s="87"/>
      <c r="V595" s="87"/>
      <c r="W595" s="87"/>
    </row>
    <row r="596" spans="1:23" x14ac:dyDescent="0.25">
      <c r="A596" s="23" t="s">
        <v>55</v>
      </c>
      <c r="B596" s="32">
        <v>33.200000000000003</v>
      </c>
      <c r="C596" s="22" t="s">
        <v>731</v>
      </c>
      <c r="D596" s="32">
        <f t="shared" si="36"/>
        <v>33.200000000000003</v>
      </c>
      <c r="E596" s="34">
        <v>8</v>
      </c>
      <c r="F596" s="23" t="s">
        <v>12</v>
      </c>
      <c r="G596" s="23" t="s">
        <v>218</v>
      </c>
      <c r="H596" s="23" t="s">
        <v>13</v>
      </c>
      <c r="I596" s="23" t="s">
        <v>72</v>
      </c>
      <c r="J596" s="65" t="s">
        <v>1162</v>
      </c>
      <c r="K596" s="21" t="s">
        <v>222</v>
      </c>
      <c r="L596" s="21" t="s">
        <v>818</v>
      </c>
      <c r="M596" s="21"/>
      <c r="N596" s="89"/>
      <c r="O596" s="89"/>
      <c r="P596" s="89"/>
      <c r="Q596" s="87"/>
      <c r="R596" s="87"/>
      <c r="S596" s="87"/>
      <c r="T596" s="87"/>
      <c r="U596" s="87"/>
      <c r="V596" s="87"/>
      <c r="W596" s="87"/>
    </row>
    <row r="597" spans="1:23" x14ac:dyDescent="0.25">
      <c r="A597" s="21" t="s">
        <v>55</v>
      </c>
      <c r="B597" s="22">
        <f>0.8*0.95*100</f>
        <v>76</v>
      </c>
      <c r="C597" s="22">
        <v>5</v>
      </c>
      <c r="D597" s="32">
        <f t="shared" si="36"/>
        <v>81</v>
      </c>
      <c r="E597" s="25">
        <v>1</v>
      </c>
      <c r="F597" s="21" t="s">
        <v>716</v>
      </c>
      <c r="G597" s="21" t="s">
        <v>731</v>
      </c>
      <c r="H597" s="23" t="s">
        <v>725</v>
      </c>
      <c r="I597" s="21" t="s">
        <v>746</v>
      </c>
      <c r="J597" s="21" t="s">
        <v>745</v>
      </c>
      <c r="K597" s="21" t="s">
        <v>891</v>
      </c>
      <c r="L597" s="25" t="s">
        <v>770</v>
      </c>
      <c r="M597" s="21" t="s">
        <v>902</v>
      </c>
      <c r="N597" s="87"/>
      <c r="O597" s="87"/>
      <c r="P597" s="87"/>
      <c r="Q597" s="87"/>
      <c r="R597" s="87"/>
      <c r="S597" s="87"/>
      <c r="T597" s="87"/>
      <c r="U597" s="87"/>
      <c r="V597" s="87"/>
      <c r="W597" s="87"/>
    </row>
    <row r="598" spans="1:23" x14ac:dyDescent="0.25">
      <c r="A598" s="23" t="s">
        <v>55</v>
      </c>
      <c r="B598" s="32">
        <v>58</v>
      </c>
      <c r="C598" s="22" t="s">
        <v>731</v>
      </c>
      <c r="D598" s="32">
        <f t="shared" si="36"/>
        <v>58</v>
      </c>
      <c r="E598" s="34">
        <v>6</v>
      </c>
      <c r="F598" s="23" t="s">
        <v>12</v>
      </c>
      <c r="G598" s="23" t="s">
        <v>218</v>
      </c>
      <c r="H598" s="23" t="s">
        <v>13</v>
      </c>
      <c r="I598" s="23" t="s">
        <v>70</v>
      </c>
      <c r="J598" s="65" t="s">
        <v>1162</v>
      </c>
      <c r="K598" s="21" t="s">
        <v>222</v>
      </c>
      <c r="L598" s="21" t="s">
        <v>818</v>
      </c>
      <c r="M598" s="21"/>
      <c r="N598" s="89"/>
      <c r="O598" s="89"/>
      <c r="P598" s="89"/>
      <c r="Q598" s="87"/>
      <c r="R598" s="87"/>
      <c r="S598" s="87"/>
      <c r="T598" s="87"/>
      <c r="U598" s="87"/>
      <c r="V598" s="87"/>
      <c r="W598" s="87"/>
    </row>
    <row r="599" spans="1:23" x14ac:dyDescent="0.25">
      <c r="A599" s="23" t="s">
        <v>55</v>
      </c>
      <c r="B599" s="32">
        <v>34</v>
      </c>
      <c r="C599" s="22" t="s">
        <v>731</v>
      </c>
      <c r="D599" s="32">
        <f t="shared" si="36"/>
        <v>34</v>
      </c>
      <c r="E599" s="34">
        <v>18</v>
      </c>
      <c r="F599" s="23" t="s">
        <v>15</v>
      </c>
      <c r="G599" s="23" t="s">
        <v>218</v>
      </c>
      <c r="H599" s="23" t="s">
        <v>13</v>
      </c>
      <c r="I599" s="23" t="s">
        <v>64</v>
      </c>
      <c r="J599" s="65" t="s">
        <v>1162</v>
      </c>
      <c r="K599" s="21" t="s">
        <v>222</v>
      </c>
      <c r="L599" s="21" t="s">
        <v>818</v>
      </c>
      <c r="M599" s="21"/>
      <c r="N599" s="89"/>
      <c r="O599" s="89"/>
      <c r="P599" s="89"/>
      <c r="Q599" s="87"/>
      <c r="R599" s="87"/>
      <c r="S599" s="87"/>
      <c r="T599" s="87"/>
      <c r="U599" s="87"/>
      <c r="V599" s="87"/>
      <c r="W599" s="87"/>
    </row>
    <row r="600" spans="1:23" x14ac:dyDescent="0.25">
      <c r="A600" s="23" t="s">
        <v>55</v>
      </c>
      <c r="B600" s="32">
        <v>50.2</v>
      </c>
      <c r="C600" s="22" t="s">
        <v>731</v>
      </c>
      <c r="D600" s="32">
        <f t="shared" si="36"/>
        <v>50.2</v>
      </c>
      <c r="E600" s="34">
        <v>7</v>
      </c>
      <c r="F600" s="35" t="s">
        <v>12</v>
      </c>
      <c r="G600" s="35" t="s">
        <v>218</v>
      </c>
      <c r="H600" s="35" t="s">
        <v>13</v>
      </c>
      <c r="I600" s="35" t="s">
        <v>82</v>
      </c>
      <c r="J600" s="65" t="s">
        <v>1162</v>
      </c>
      <c r="K600" s="21" t="s">
        <v>222</v>
      </c>
      <c r="L600" s="21" t="s">
        <v>818</v>
      </c>
      <c r="M600" s="21"/>
      <c r="N600" s="89"/>
      <c r="O600" s="89"/>
      <c r="P600" s="89"/>
      <c r="Q600" s="87"/>
      <c r="R600" s="87"/>
      <c r="S600" s="87"/>
      <c r="T600" s="87"/>
      <c r="U600" s="87"/>
      <c r="V600" s="87"/>
      <c r="W600" s="87"/>
    </row>
    <row r="601" spans="1:23" x14ac:dyDescent="0.25">
      <c r="A601" s="23" t="s">
        <v>55</v>
      </c>
      <c r="B601" s="32">
        <v>63.2</v>
      </c>
      <c r="C601" s="22" t="s">
        <v>731</v>
      </c>
      <c r="D601" s="32">
        <f t="shared" si="36"/>
        <v>63.2</v>
      </c>
      <c r="E601" s="34">
        <v>2</v>
      </c>
      <c r="F601" s="35" t="s">
        <v>15</v>
      </c>
      <c r="G601" s="35" t="s">
        <v>218</v>
      </c>
      <c r="H601" s="35" t="s">
        <v>13</v>
      </c>
      <c r="I601" s="35" t="s">
        <v>83</v>
      </c>
      <c r="J601" s="65" t="s">
        <v>1162</v>
      </c>
      <c r="K601" s="21" t="s">
        <v>222</v>
      </c>
      <c r="L601" s="21" t="s">
        <v>818</v>
      </c>
      <c r="M601" s="21"/>
      <c r="N601" s="89"/>
      <c r="O601" s="89"/>
      <c r="P601" s="89"/>
      <c r="Q601" s="87"/>
      <c r="R601" s="87"/>
      <c r="S601" s="87"/>
      <c r="T601" s="87"/>
      <c r="U601" s="87"/>
      <c r="V601" s="87"/>
      <c r="W601" s="87"/>
    </row>
    <row r="602" spans="1:23" x14ac:dyDescent="0.25">
      <c r="A602" s="23" t="s">
        <v>55</v>
      </c>
      <c r="B602" s="32">
        <v>48</v>
      </c>
      <c r="C602" s="22" t="s">
        <v>731</v>
      </c>
      <c r="D602" s="32">
        <f t="shared" si="36"/>
        <v>48</v>
      </c>
      <c r="E602" s="34">
        <v>6</v>
      </c>
      <c r="F602" s="35" t="s">
        <v>15</v>
      </c>
      <c r="G602" s="35" t="s">
        <v>218</v>
      </c>
      <c r="H602" s="35" t="s">
        <v>13</v>
      </c>
      <c r="I602" s="35" t="s">
        <v>83</v>
      </c>
      <c r="J602" s="65" t="s">
        <v>1162</v>
      </c>
      <c r="K602" s="21" t="s">
        <v>222</v>
      </c>
      <c r="L602" s="21" t="s">
        <v>818</v>
      </c>
      <c r="M602" s="21"/>
      <c r="N602" s="89"/>
      <c r="O602" s="89"/>
      <c r="P602" s="89"/>
      <c r="Q602" s="87"/>
      <c r="R602" s="87"/>
      <c r="S602" s="87"/>
      <c r="T602" s="87"/>
      <c r="U602" s="87"/>
      <c r="V602" s="87"/>
      <c r="W602" s="87"/>
    </row>
    <row r="603" spans="1:23" x14ac:dyDescent="0.25">
      <c r="A603" s="23" t="s">
        <v>55</v>
      </c>
      <c r="B603" s="32">
        <v>33.200000000000003</v>
      </c>
      <c r="C603" s="22" t="s">
        <v>731</v>
      </c>
      <c r="D603" s="32">
        <f t="shared" si="36"/>
        <v>33.200000000000003</v>
      </c>
      <c r="E603" s="34">
        <v>8</v>
      </c>
      <c r="F603" s="23" t="s">
        <v>12</v>
      </c>
      <c r="G603" s="23" t="s">
        <v>218</v>
      </c>
      <c r="H603" s="23" t="s">
        <v>13</v>
      </c>
      <c r="I603" s="59" t="s">
        <v>67</v>
      </c>
      <c r="J603" s="65" t="s">
        <v>1162</v>
      </c>
      <c r="K603" s="21" t="s">
        <v>222</v>
      </c>
      <c r="L603" s="21" t="s">
        <v>818</v>
      </c>
      <c r="M603" s="21"/>
      <c r="N603" s="89"/>
      <c r="O603" s="89"/>
      <c r="P603" s="89"/>
      <c r="Q603" s="87"/>
      <c r="R603" s="87"/>
      <c r="S603" s="87"/>
      <c r="T603" s="87"/>
      <c r="U603" s="87"/>
      <c r="V603" s="87"/>
      <c r="W603" s="87"/>
    </row>
    <row r="604" spans="1:23" x14ac:dyDescent="0.25">
      <c r="A604" s="23" t="s">
        <v>55</v>
      </c>
      <c r="B604" s="32">
        <v>46</v>
      </c>
      <c r="C604" s="22" t="s">
        <v>731</v>
      </c>
      <c r="D604" s="32">
        <f t="shared" si="36"/>
        <v>46</v>
      </c>
      <c r="E604" s="34">
        <v>8</v>
      </c>
      <c r="F604" s="35" t="s">
        <v>12</v>
      </c>
      <c r="G604" s="35" t="s">
        <v>218</v>
      </c>
      <c r="H604" s="35" t="s">
        <v>13</v>
      </c>
      <c r="I604" s="35" t="s">
        <v>79</v>
      </c>
      <c r="J604" s="65" t="s">
        <v>1162</v>
      </c>
      <c r="K604" s="21" t="s">
        <v>222</v>
      </c>
      <c r="L604" s="21" t="s">
        <v>818</v>
      </c>
      <c r="M604" s="21"/>
      <c r="N604" s="89"/>
      <c r="O604" s="89"/>
      <c r="P604" s="89"/>
      <c r="Q604" s="89">
        <v>8.6999999999999993</v>
      </c>
      <c r="R604" s="87"/>
      <c r="S604" s="89">
        <v>4.2</v>
      </c>
      <c r="T604" s="87"/>
      <c r="U604" s="87"/>
      <c r="V604" s="87"/>
      <c r="W604" s="87"/>
    </row>
    <row r="605" spans="1:23" x14ac:dyDescent="0.25">
      <c r="A605" s="23" t="s">
        <v>55</v>
      </c>
      <c r="B605" s="32">
        <v>47</v>
      </c>
      <c r="C605" s="22" t="s">
        <v>731</v>
      </c>
      <c r="D605" s="32">
        <f t="shared" si="36"/>
        <v>47</v>
      </c>
      <c r="E605" s="34">
        <v>8</v>
      </c>
      <c r="F605" s="35" t="s">
        <v>12</v>
      </c>
      <c r="G605" s="35" t="s">
        <v>218</v>
      </c>
      <c r="H605" s="35" t="s">
        <v>13</v>
      </c>
      <c r="I605" s="35" t="s">
        <v>79</v>
      </c>
      <c r="J605" s="65" t="s">
        <v>1162</v>
      </c>
      <c r="K605" s="21" t="s">
        <v>222</v>
      </c>
      <c r="L605" s="21" t="s">
        <v>818</v>
      </c>
      <c r="M605" s="21"/>
      <c r="N605" s="89"/>
      <c r="O605" s="89"/>
      <c r="P605" s="89"/>
      <c r="Q605" s="89">
        <v>3.3</v>
      </c>
      <c r="R605" s="87"/>
      <c r="S605" s="89">
        <v>1</v>
      </c>
      <c r="T605" s="87"/>
      <c r="U605" s="87"/>
      <c r="V605" s="87"/>
      <c r="W605" s="87"/>
    </row>
    <row r="606" spans="1:23" x14ac:dyDescent="0.25">
      <c r="A606" s="23" t="s">
        <v>55</v>
      </c>
      <c r="B606" s="47">
        <v>13.5</v>
      </c>
      <c r="C606" s="22" t="s">
        <v>731</v>
      </c>
      <c r="D606" s="32">
        <f t="shared" si="36"/>
        <v>13.5</v>
      </c>
      <c r="E606" s="34">
        <v>3</v>
      </c>
      <c r="F606" s="23" t="s">
        <v>36</v>
      </c>
      <c r="G606" s="23" t="s">
        <v>37</v>
      </c>
      <c r="H606" s="23" t="s">
        <v>13</v>
      </c>
      <c r="I606" s="23" t="s">
        <v>35</v>
      </c>
      <c r="J606" s="65" t="s">
        <v>1162</v>
      </c>
      <c r="K606" s="21" t="s">
        <v>222</v>
      </c>
      <c r="L606" s="21" t="s">
        <v>818</v>
      </c>
      <c r="M606" s="21"/>
      <c r="N606" s="97"/>
      <c r="O606" s="97"/>
      <c r="P606" s="97"/>
      <c r="Q606" s="87"/>
      <c r="R606" s="87"/>
      <c r="S606" s="87"/>
      <c r="T606" s="87"/>
      <c r="U606" s="87"/>
      <c r="V606" s="87"/>
      <c r="W606" s="87"/>
    </row>
    <row r="607" spans="1:23" x14ac:dyDescent="0.25">
      <c r="A607" s="23" t="s">
        <v>55</v>
      </c>
      <c r="B607" s="47">
        <v>11.9</v>
      </c>
      <c r="C607" s="22" t="s">
        <v>731</v>
      </c>
      <c r="D607" s="32">
        <f t="shared" si="36"/>
        <v>11.9</v>
      </c>
      <c r="E607" s="34">
        <v>2</v>
      </c>
      <c r="F607" s="23" t="s">
        <v>36</v>
      </c>
      <c r="G607" s="23" t="s">
        <v>37</v>
      </c>
      <c r="H607" s="23" t="s">
        <v>13</v>
      </c>
      <c r="I607" s="23" t="s">
        <v>35</v>
      </c>
      <c r="J607" s="65" t="s">
        <v>1162</v>
      </c>
      <c r="K607" s="21" t="s">
        <v>222</v>
      </c>
      <c r="L607" s="21" t="s">
        <v>818</v>
      </c>
      <c r="M607" s="21"/>
      <c r="N607" s="97"/>
      <c r="O607" s="97"/>
      <c r="P607" s="97"/>
      <c r="Q607" s="87"/>
      <c r="R607" s="87"/>
      <c r="S607" s="87"/>
      <c r="T607" s="87"/>
      <c r="U607" s="87"/>
      <c r="V607" s="87"/>
      <c r="W607" s="87"/>
    </row>
    <row r="608" spans="1:23" x14ac:dyDescent="0.25">
      <c r="A608" s="23" t="s">
        <v>55</v>
      </c>
      <c r="B608" s="32">
        <v>24.4</v>
      </c>
      <c r="C608" s="22" t="s">
        <v>731</v>
      </c>
      <c r="D608" s="32">
        <f t="shared" ref="D608:D623" si="37">SUM(B608:C608)</f>
        <v>24.4</v>
      </c>
      <c r="E608" s="34">
        <v>3</v>
      </c>
      <c r="F608" s="23" t="s">
        <v>12</v>
      </c>
      <c r="G608" s="23" t="s">
        <v>218</v>
      </c>
      <c r="H608" s="23" t="s">
        <v>13</v>
      </c>
      <c r="I608" s="23" t="s">
        <v>68</v>
      </c>
      <c r="J608" s="65" t="s">
        <v>1162</v>
      </c>
      <c r="K608" s="21" t="s">
        <v>222</v>
      </c>
      <c r="L608" s="21" t="s">
        <v>818</v>
      </c>
      <c r="M608" s="21"/>
      <c r="N608" s="89"/>
      <c r="O608" s="89"/>
      <c r="P608" s="89"/>
      <c r="Q608" s="87"/>
      <c r="R608" s="87"/>
      <c r="S608" s="87"/>
      <c r="T608" s="87"/>
      <c r="U608" s="87"/>
      <c r="V608" s="87"/>
      <c r="W608" s="87"/>
    </row>
    <row r="609" spans="1:23" x14ac:dyDescent="0.25">
      <c r="A609" s="23" t="s">
        <v>55</v>
      </c>
      <c r="B609" s="32">
        <v>54.7</v>
      </c>
      <c r="C609" s="22" t="s">
        <v>731</v>
      </c>
      <c r="D609" s="32">
        <f t="shared" si="37"/>
        <v>54.7</v>
      </c>
      <c r="E609" s="34">
        <v>8</v>
      </c>
      <c r="F609" s="23" t="s">
        <v>15</v>
      </c>
      <c r="G609" s="23" t="s">
        <v>218</v>
      </c>
      <c r="H609" s="23" t="s">
        <v>13</v>
      </c>
      <c r="I609" s="23" t="s">
        <v>16</v>
      </c>
      <c r="J609" s="65" t="s">
        <v>1162</v>
      </c>
      <c r="K609" s="21" t="s">
        <v>222</v>
      </c>
      <c r="L609" s="21" t="s">
        <v>818</v>
      </c>
      <c r="M609" s="21"/>
      <c r="N609" s="89"/>
      <c r="O609" s="89"/>
      <c r="P609" s="89"/>
      <c r="Q609" s="87"/>
      <c r="R609" s="87"/>
      <c r="S609" s="87"/>
      <c r="T609" s="87"/>
      <c r="U609" s="87"/>
      <c r="V609" s="87"/>
      <c r="W609" s="87"/>
    </row>
    <row r="610" spans="1:23" x14ac:dyDescent="0.25">
      <c r="A610" s="23" t="s">
        <v>55</v>
      </c>
      <c r="B610" s="32">
        <v>54.5</v>
      </c>
      <c r="C610" s="22" t="s">
        <v>731</v>
      </c>
      <c r="D610" s="32">
        <f t="shared" si="37"/>
        <v>54.5</v>
      </c>
      <c r="E610" s="34">
        <v>10</v>
      </c>
      <c r="F610" s="23" t="s">
        <v>15</v>
      </c>
      <c r="G610" s="23" t="s">
        <v>218</v>
      </c>
      <c r="H610" s="23" t="s">
        <v>13</v>
      </c>
      <c r="I610" s="23" t="s">
        <v>16</v>
      </c>
      <c r="J610" s="65" t="s">
        <v>1162</v>
      </c>
      <c r="K610" s="21" t="s">
        <v>222</v>
      </c>
      <c r="L610" s="21" t="s">
        <v>818</v>
      </c>
      <c r="M610" s="21"/>
      <c r="N610" s="89"/>
      <c r="O610" s="89"/>
      <c r="P610" s="89"/>
      <c r="Q610" s="87"/>
      <c r="R610" s="87"/>
      <c r="S610" s="87"/>
      <c r="T610" s="87"/>
      <c r="U610" s="87"/>
      <c r="V610" s="87"/>
      <c r="W610" s="87"/>
    </row>
    <row r="611" spans="1:23" x14ac:dyDescent="0.25">
      <c r="A611" s="23" t="s">
        <v>55</v>
      </c>
      <c r="B611" s="22">
        <v>57</v>
      </c>
      <c r="C611" s="22" t="s">
        <v>731</v>
      </c>
      <c r="D611" s="32">
        <f t="shared" si="37"/>
        <v>57</v>
      </c>
      <c r="E611" s="34">
        <v>10</v>
      </c>
      <c r="F611" s="21" t="s">
        <v>716</v>
      </c>
      <c r="G611" s="23" t="s">
        <v>218</v>
      </c>
      <c r="H611" s="23" t="s">
        <v>13</v>
      </c>
      <c r="I611" s="23" t="s">
        <v>61</v>
      </c>
      <c r="J611" s="21" t="s">
        <v>831</v>
      </c>
      <c r="K611" s="21" t="s">
        <v>222</v>
      </c>
      <c r="L611" s="21" t="s">
        <v>818</v>
      </c>
      <c r="M611" s="21"/>
      <c r="N611" s="87"/>
      <c r="O611" s="87"/>
      <c r="P611" s="87"/>
      <c r="Q611" s="87"/>
      <c r="R611" s="87"/>
      <c r="S611" s="87"/>
      <c r="T611" s="87"/>
      <c r="U611" s="87"/>
      <c r="V611" s="87"/>
      <c r="W611" s="87"/>
    </row>
    <row r="612" spans="1:23" x14ac:dyDescent="0.25">
      <c r="A612" s="23" t="s">
        <v>55</v>
      </c>
      <c r="B612" s="32">
        <v>85</v>
      </c>
      <c r="C612" s="22" t="s">
        <v>731</v>
      </c>
      <c r="D612" s="32">
        <f t="shared" si="37"/>
        <v>85</v>
      </c>
      <c r="E612" s="34">
        <v>12</v>
      </c>
      <c r="F612" s="23" t="s">
        <v>12</v>
      </c>
      <c r="G612" s="23" t="s">
        <v>218</v>
      </c>
      <c r="H612" s="23" t="s">
        <v>13</v>
      </c>
      <c r="I612" s="23" t="s">
        <v>26</v>
      </c>
      <c r="J612" s="65" t="s">
        <v>1162</v>
      </c>
      <c r="K612" s="21" t="s">
        <v>222</v>
      </c>
      <c r="L612" s="21" t="s">
        <v>818</v>
      </c>
      <c r="M612" s="21"/>
      <c r="N612" s="89"/>
      <c r="O612" s="89"/>
      <c r="P612" s="89"/>
      <c r="Q612" s="87"/>
      <c r="R612" s="87"/>
      <c r="S612" s="87"/>
      <c r="T612" s="87"/>
      <c r="U612" s="87"/>
      <c r="V612" s="87"/>
      <c r="W612" s="87"/>
    </row>
    <row r="613" spans="1:23" x14ac:dyDescent="0.25">
      <c r="A613" s="23" t="s">
        <v>55</v>
      </c>
      <c r="B613" s="32">
        <v>62.6</v>
      </c>
      <c r="C613" s="22" t="s">
        <v>731</v>
      </c>
      <c r="D613" s="32">
        <f t="shared" si="37"/>
        <v>62.6</v>
      </c>
      <c r="E613" s="34">
        <v>6</v>
      </c>
      <c r="F613" s="23" t="s">
        <v>12</v>
      </c>
      <c r="G613" s="23" t="s">
        <v>218</v>
      </c>
      <c r="H613" s="23" t="s">
        <v>13</v>
      </c>
      <c r="I613" s="23" t="s">
        <v>24</v>
      </c>
      <c r="J613" s="65" t="s">
        <v>1162</v>
      </c>
      <c r="K613" s="21" t="s">
        <v>222</v>
      </c>
      <c r="L613" s="21" t="s">
        <v>818</v>
      </c>
      <c r="M613" s="21"/>
      <c r="N613" s="89"/>
      <c r="O613" s="89"/>
      <c r="P613" s="89"/>
      <c r="Q613" s="87"/>
      <c r="R613" s="87"/>
      <c r="S613" s="87"/>
      <c r="T613" s="87"/>
      <c r="U613" s="87"/>
      <c r="V613" s="87"/>
      <c r="W613" s="87"/>
    </row>
    <row r="614" spans="1:23" x14ac:dyDescent="0.25">
      <c r="A614" s="23" t="s">
        <v>55</v>
      </c>
      <c r="B614" s="32">
        <v>61</v>
      </c>
      <c r="C614" s="22" t="s">
        <v>731</v>
      </c>
      <c r="D614" s="32">
        <f t="shared" si="37"/>
        <v>61</v>
      </c>
      <c r="E614" s="34">
        <v>6</v>
      </c>
      <c r="F614" s="23" t="s">
        <v>12</v>
      </c>
      <c r="G614" s="23" t="s">
        <v>218</v>
      </c>
      <c r="H614" s="23" t="s">
        <v>13</v>
      </c>
      <c r="I614" s="23" t="s">
        <v>31</v>
      </c>
      <c r="J614" s="65" t="s">
        <v>1162</v>
      </c>
      <c r="K614" s="21" t="s">
        <v>222</v>
      </c>
      <c r="L614" s="21" t="s">
        <v>818</v>
      </c>
      <c r="M614" s="21"/>
      <c r="N614" s="89"/>
      <c r="O614" s="89"/>
      <c r="P614" s="89"/>
      <c r="Q614" s="87"/>
      <c r="R614" s="87"/>
      <c r="S614" s="87"/>
      <c r="T614" s="87"/>
      <c r="U614" s="87"/>
      <c r="V614" s="87"/>
      <c r="W614" s="87"/>
    </row>
    <row r="615" spans="1:23" x14ac:dyDescent="0.25">
      <c r="A615" s="23" t="s">
        <v>55</v>
      </c>
      <c r="B615" s="45">
        <v>31</v>
      </c>
      <c r="C615" s="22" t="s">
        <v>731</v>
      </c>
      <c r="D615" s="32">
        <f t="shared" si="37"/>
        <v>31</v>
      </c>
      <c r="E615" s="34">
        <v>6</v>
      </c>
      <c r="F615" s="23" t="s">
        <v>12</v>
      </c>
      <c r="G615" s="23" t="s">
        <v>218</v>
      </c>
      <c r="H615" s="23" t="s">
        <v>13</v>
      </c>
      <c r="I615" s="23" t="s">
        <v>31</v>
      </c>
      <c r="J615" s="65" t="s">
        <v>1162</v>
      </c>
      <c r="K615" s="21" t="s">
        <v>222</v>
      </c>
      <c r="L615" s="21" t="s">
        <v>818</v>
      </c>
      <c r="M615" s="21"/>
      <c r="N615" s="96"/>
      <c r="O615" s="96"/>
      <c r="P615" s="96"/>
      <c r="Q615" s="87"/>
      <c r="R615" s="87"/>
      <c r="S615" s="87"/>
      <c r="T615" s="87"/>
      <c r="U615" s="87"/>
      <c r="V615" s="87"/>
      <c r="W615" s="87"/>
    </row>
    <row r="616" spans="1:23" x14ac:dyDescent="0.25">
      <c r="A616" s="21" t="s">
        <v>55</v>
      </c>
      <c r="B616" s="22" t="s">
        <v>731</v>
      </c>
      <c r="C616" s="22" t="s">
        <v>731</v>
      </c>
      <c r="D616" s="22">
        <v>80</v>
      </c>
      <c r="E616" s="25">
        <v>1</v>
      </c>
      <c r="F616" s="21" t="s">
        <v>716</v>
      </c>
      <c r="G616" s="21" t="s">
        <v>731</v>
      </c>
      <c r="H616" s="23" t="s">
        <v>725</v>
      </c>
      <c r="I616" s="21" t="s">
        <v>794</v>
      </c>
      <c r="J616" s="21" t="s">
        <v>802</v>
      </c>
      <c r="K616" s="21" t="s">
        <v>971</v>
      </c>
      <c r="L616" s="21"/>
      <c r="M616" s="21" t="s">
        <v>806</v>
      </c>
      <c r="N616" s="87"/>
      <c r="O616" s="87"/>
      <c r="P616" s="87"/>
      <c r="Q616" s="87"/>
      <c r="R616" s="87"/>
      <c r="S616" s="87"/>
      <c r="T616" s="87"/>
      <c r="U616" s="87"/>
      <c r="V616" s="87"/>
      <c r="W616" s="87"/>
    </row>
    <row r="617" spans="1:23" x14ac:dyDescent="0.25">
      <c r="A617" s="23" t="s">
        <v>55</v>
      </c>
      <c r="B617" s="32">
        <v>54.9</v>
      </c>
      <c r="C617" s="22" t="s">
        <v>731</v>
      </c>
      <c r="D617" s="32">
        <f t="shared" si="37"/>
        <v>54.9</v>
      </c>
      <c r="E617" s="34">
        <v>6</v>
      </c>
      <c r="F617" s="23" t="s">
        <v>12</v>
      </c>
      <c r="G617" s="23" t="s">
        <v>218</v>
      </c>
      <c r="H617" s="23" t="s">
        <v>13</v>
      </c>
      <c r="I617" s="23" t="s">
        <v>56</v>
      </c>
      <c r="J617" s="65" t="s">
        <v>1162</v>
      </c>
      <c r="K617" s="21" t="s">
        <v>222</v>
      </c>
      <c r="L617" s="21" t="s">
        <v>818</v>
      </c>
      <c r="M617" s="21"/>
      <c r="N617" s="89"/>
      <c r="O617" s="89"/>
      <c r="P617" s="89"/>
      <c r="Q617" s="89">
        <v>4.5</v>
      </c>
      <c r="R617" s="89">
        <v>0.7</v>
      </c>
      <c r="S617" s="87"/>
      <c r="T617" s="87"/>
      <c r="U617" s="87"/>
      <c r="V617" s="87"/>
      <c r="W617" s="87"/>
    </row>
    <row r="618" spans="1:23" x14ac:dyDescent="0.25">
      <c r="A618" s="23" t="s">
        <v>55</v>
      </c>
      <c r="B618" s="32">
        <v>48.4</v>
      </c>
      <c r="C618" s="22" t="s">
        <v>731</v>
      </c>
      <c r="D618" s="32">
        <f t="shared" si="37"/>
        <v>48.4</v>
      </c>
      <c r="E618" s="34">
        <v>10</v>
      </c>
      <c r="F618" s="23" t="s">
        <v>12</v>
      </c>
      <c r="G618" s="23" t="s">
        <v>218</v>
      </c>
      <c r="H618" s="23" t="s">
        <v>13</v>
      </c>
      <c r="I618" s="23" t="s">
        <v>33</v>
      </c>
      <c r="J618" s="65" t="s">
        <v>1162</v>
      </c>
      <c r="K618" s="21" t="s">
        <v>222</v>
      </c>
      <c r="L618" s="21" t="s">
        <v>818</v>
      </c>
      <c r="M618" s="21"/>
      <c r="N618" s="89"/>
      <c r="O618" s="89"/>
      <c r="P618" s="89"/>
      <c r="Q618" s="87"/>
      <c r="R618" s="87"/>
      <c r="S618" s="87"/>
      <c r="T618" s="87"/>
      <c r="U618" s="87"/>
      <c r="V618" s="87"/>
      <c r="W618" s="87"/>
    </row>
    <row r="619" spans="1:23" x14ac:dyDescent="0.25">
      <c r="A619" s="23" t="s">
        <v>55</v>
      </c>
      <c r="B619" s="32">
        <v>46.9</v>
      </c>
      <c r="C619" s="22" t="s">
        <v>731</v>
      </c>
      <c r="D619" s="32">
        <f t="shared" si="37"/>
        <v>46.9</v>
      </c>
      <c r="E619" s="34">
        <v>10</v>
      </c>
      <c r="F619" s="23" t="s">
        <v>12</v>
      </c>
      <c r="G619" s="23" t="s">
        <v>218</v>
      </c>
      <c r="H619" s="23" t="s">
        <v>13</v>
      </c>
      <c r="I619" s="23" t="s">
        <v>33</v>
      </c>
      <c r="J619" s="65" t="s">
        <v>1162</v>
      </c>
      <c r="K619" s="21" t="s">
        <v>222</v>
      </c>
      <c r="L619" s="21" t="s">
        <v>818</v>
      </c>
      <c r="M619" s="21"/>
      <c r="N619" s="89"/>
      <c r="O619" s="89"/>
      <c r="P619" s="89"/>
      <c r="Q619" s="87"/>
      <c r="R619" s="87"/>
      <c r="S619" s="87"/>
      <c r="T619" s="87"/>
      <c r="U619" s="87"/>
      <c r="V619" s="87"/>
      <c r="W619" s="87"/>
    </row>
    <row r="620" spans="1:23" x14ac:dyDescent="0.25">
      <c r="A620" s="23" t="s">
        <v>55</v>
      </c>
      <c r="B620" s="32">
        <v>53.8</v>
      </c>
      <c r="C620" s="22" t="s">
        <v>731</v>
      </c>
      <c r="D620" s="32">
        <f t="shared" si="37"/>
        <v>53.8</v>
      </c>
      <c r="E620" s="34">
        <v>6</v>
      </c>
      <c r="F620" s="23" t="s">
        <v>12</v>
      </c>
      <c r="G620" s="23" t="s">
        <v>218</v>
      </c>
      <c r="H620" s="23" t="s">
        <v>13</v>
      </c>
      <c r="I620" s="23" t="s">
        <v>65</v>
      </c>
      <c r="J620" s="65" t="s">
        <v>1162</v>
      </c>
      <c r="K620" s="21" t="s">
        <v>222</v>
      </c>
      <c r="L620" s="21" t="s">
        <v>818</v>
      </c>
      <c r="M620" s="21"/>
      <c r="N620" s="89"/>
      <c r="O620" s="89"/>
      <c r="P620" s="89"/>
      <c r="Q620" s="87"/>
      <c r="R620" s="87"/>
      <c r="S620" s="87"/>
      <c r="T620" s="87"/>
      <c r="U620" s="87"/>
      <c r="V620" s="87"/>
      <c r="W620" s="87"/>
    </row>
    <row r="621" spans="1:23" x14ac:dyDescent="0.25">
      <c r="A621" s="23" t="s">
        <v>55</v>
      </c>
      <c r="B621" s="32">
        <v>54</v>
      </c>
      <c r="C621" s="22" t="s">
        <v>731</v>
      </c>
      <c r="D621" s="32">
        <f t="shared" si="37"/>
        <v>54</v>
      </c>
      <c r="E621" s="34">
        <v>8</v>
      </c>
      <c r="F621" s="35" t="s">
        <v>12</v>
      </c>
      <c r="G621" s="35" t="s">
        <v>218</v>
      </c>
      <c r="H621" s="35" t="s">
        <v>13</v>
      </c>
      <c r="I621" s="35" t="s">
        <v>49</v>
      </c>
      <c r="J621" s="21" t="s">
        <v>784</v>
      </c>
      <c r="K621" s="21" t="s">
        <v>222</v>
      </c>
      <c r="L621" s="21" t="s">
        <v>818</v>
      </c>
      <c r="M621" s="21"/>
      <c r="N621" s="89"/>
      <c r="O621" s="89"/>
      <c r="P621" s="89"/>
      <c r="Q621" s="87"/>
      <c r="R621" s="87"/>
      <c r="S621" s="87"/>
      <c r="T621" s="87"/>
      <c r="U621" s="87"/>
      <c r="V621" s="87"/>
      <c r="W621" s="87"/>
    </row>
    <row r="622" spans="1:23" x14ac:dyDescent="0.25">
      <c r="A622" s="23" t="s">
        <v>55</v>
      </c>
      <c r="B622" s="32">
        <v>62</v>
      </c>
      <c r="C622" s="22" t="s">
        <v>731</v>
      </c>
      <c r="D622" s="32">
        <f t="shared" si="37"/>
        <v>62</v>
      </c>
      <c r="E622" s="34">
        <v>5</v>
      </c>
      <c r="F622" s="35" t="s">
        <v>12</v>
      </c>
      <c r="G622" s="35" t="s">
        <v>218</v>
      </c>
      <c r="H622" s="35" t="s">
        <v>13</v>
      </c>
      <c r="I622" s="35" t="s">
        <v>49</v>
      </c>
      <c r="J622" s="21" t="s">
        <v>784</v>
      </c>
      <c r="K622" s="21" t="s">
        <v>222</v>
      </c>
      <c r="L622" s="21" t="s">
        <v>818</v>
      </c>
      <c r="M622" s="21"/>
      <c r="N622" s="89"/>
      <c r="O622" s="89"/>
      <c r="P622" s="89"/>
      <c r="Q622" s="87"/>
      <c r="R622" s="87"/>
      <c r="S622" s="87"/>
      <c r="T622" s="87"/>
      <c r="U622" s="87"/>
      <c r="V622" s="87"/>
      <c r="W622" s="87"/>
    </row>
    <row r="623" spans="1:23" x14ac:dyDescent="0.25">
      <c r="A623" s="23" t="s">
        <v>55</v>
      </c>
      <c r="B623" s="32">
        <v>18</v>
      </c>
      <c r="C623" s="22" t="s">
        <v>731</v>
      </c>
      <c r="D623" s="32">
        <f t="shared" si="37"/>
        <v>18</v>
      </c>
      <c r="E623" s="34">
        <v>10</v>
      </c>
      <c r="F623" s="35" t="s">
        <v>36</v>
      </c>
      <c r="G623" s="35" t="s">
        <v>218</v>
      </c>
      <c r="H623" s="35" t="s">
        <v>13</v>
      </c>
      <c r="I623" s="35" t="s">
        <v>49</v>
      </c>
      <c r="J623" s="21" t="s">
        <v>784</v>
      </c>
      <c r="K623" s="21" t="s">
        <v>222</v>
      </c>
      <c r="L623" s="21" t="s">
        <v>818</v>
      </c>
      <c r="M623" s="21"/>
      <c r="N623" s="89"/>
      <c r="O623" s="89"/>
      <c r="P623" s="89"/>
      <c r="Q623" s="87"/>
      <c r="R623" s="87"/>
      <c r="S623" s="87"/>
      <c r="T623" s="87"/>
      <c r="U623" s="87"/>
      <c r="V623" s="87"/>
      <c r="W623" s="87"/>
    </row>
  </sheetData>
  <autoFilter ref="A1:W623" xr:uid="{8935DDDF-8272-47C1-A681-EADA7C52422A}"/>
  <phoneticPr fontId="16" type="noConversion"/>
  <hyperlinks>
    <hyperlink ref="J24" r:id="rId1" xr:uid="{888265C3-1AFD-4E98-9F36-65C674DC8BAC}"/>
    <hyperlink ref="J30" r:id="rId2" xr:uid="{37AFF0C4-637A-405E-BDFD-7F963080211D}"/>
    <hyperlink ref="J20" r:id="rId3" xr:uid="{118C6961-88C0-4B40-9DCD-4471F160B3FE}"/>
    <hyperlink ref="J27" r:id="rId4" xr:uid="{90FE3D5D-D604-48FF-8321-49C7B0D541D1}"/>
    <hyperlink ref="J4" r:id="rId5" xr:uid="{4ADF3A8D-85D6-4CAE-9543-1444CC83AF05}"/>
    <hyperlink ref="J46" r:id="rId6" xr:uid="{126434D4-9ABF-403D-BA50-B015FF077893}"/>
    <hyperlink ref="J43" r:id="rId7" xr:uid="{1F93FE37-64C2-4896-8AD1-94ECA3150B38}"/>
    <hyperlink ref="J44" r:id="rId8" xr:uid="{468905AD-4B4E-4C2C-89E6-4CF449945F66}"/>
    <hyperlink ref="J402" r:id="rId9" xr:uid="{C6294B79-82DF-4627-B56F-2233E4760F3F}"/>
    <hyperlink ref="J235" r:id="rId10" xr:uid="{08AC4301-A86D-46C9-BAD0-D562DF7E17CE}"/>
    <hyperlink ref="J265" r:id="rId11" xr:uid="{8E64C107-3E4A-4A2B-BEC4-DE305B25950B}"/>
    <hyperlink ref="J296" r:id="rId12" xr:uid="{9E1CC0CD-421D-4956-8133-48652BDC0D1C}"/>
    <hyperlink ref="J307" r:id="rId13" xr:uid="{AF1AB6EF-53FB-4550-A200-17A6D020B1F4}"/>
    <hyperlink ref="J324" r:id="rId14" xr:uid="{1E5D95E5-2F94-45C0-8EEA-F0C8E310D77E}"/>
    <hyperlink ref="J241" r:id="rId15" xr:uid="{16691261-B444-4D7D-BCE0-AFD75CA48461}"/>
    <hyperlink ref="L294" r:id="rId16" xr:uid="{0FE9F523-147A-47C4-8A00-72A52E351BFD}"/>
    <hyperlink ref="J527" r:id="rId17" xr:uid="{7E45FC75-2E21-494B-93B0-6FFA199FE202}"/>
    <hyperlink ref="L34" r:id="rId18" xr:uid="{6187E117-1AD7-4510-8822-8C9B9AAB7D52}"/>
    <hyperlink ref="J5" r:id="rId19" xr:uid="{22816723-C565-4B07-B1CD-5B15B7A5F590}"/>
    <hyperlink ref="J476" r:id="rId20" xr:uid="{C5E165E2-BA71-4006-8599-CF2F491852D2}"/>
    <hyperlink ref="L289" r:id="rId21" xr:uid="{E959BEEB-FC96-4A39-A9AB-79527297C37B}"/>
    <hyperlink ref="J588" r:id="rId22" xr:uid="{BD4F1BB6-BA49-4202-B6AA-1913A348CF67}"/>
    <hyperlink ref="J7" r:id="rId23" xr:uid="{99D06DDD-8231-4D18-A3A5-216FA2DCE111}"/>
    <hyperlink ref="L527" r:id="rId24" xr:uid="{8C9D5BBC-53A5-4743-BB4C-D2D1A3CA7BBA}"/>
    <hyperlink ref="J526" r:id="rId25" xr:uid="{FD29ABC0-A554-44BE-A3BC-7B35B73B55C3}"/>
    <hyperlink ref="J29" r:id="rId26" xr:uid="{0FCEF0C9-276A-42EF-8B9A-DFF71763EAD5}"/>
    <hyperlink ref="J36" r:id="rId27" xr:uid="{0C30A52D-663D-4348-9A67-7911A0DC9BF7}"/>
    <hyperlink ref="J41" r:id="rId28" xr:uid="{D7A6D2D6-6A1A-4DB5-BCF9-25FFA861A406}"/>
    <hyperlink ref="J225" r:id="rId29" xr:uid="{00BED23F-39AE-495A-A016-5755154F704B}"/>
    <hyperlink ref="J270" r:id="rId30" xr:uid="{B39FD437-4FF6-443C-870C-317E705470BF}"/>
    <hyperlink ref="L21" r:id="rId31" xr:uid="{2A64E676-C9CE-4B17-AE86-409058AD6F7C}"/>
    <hyperlink ref="J8" r:id="rId32" xr:uid="{C7A95488-E884-45C5-A335-25407349F5FE}"/>
    <hyperlink ref="J9" r:id="rId33" xr:uid="{6D7E0450-A54B-4CEA-BF79-1A2FF8FC87C2}"/>
    <hyperlink ref="J48" r:id="rId34" xr:uid="{2885A1E3-A580-4A00-8B1F-0DF82AE3A24C}"/>
    <hyperlink ref="L48" r:id="rId35" xr:uid="{B8DB3E30-A6F2-40E9-9715-651E5B4C29E4}"/>
    <hyperlink ref="L146" r:id="rId36" xr:uid="{444C0077-57CD-42EC-BBD6-A510C7F9E22C}"/>
    <hyperlink ref="L302" r:id="rId37" xr:uid="{5D9737AE-137E-4033-A42A-80170F78651F}"/>
  </hyperlinks>
  <pageMargins left="0.7" right="0.7" top="0.75" bottom="0.75" header="0.3" footer="0.3"/>
  <legacyDrawing r:id="rId3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25F10-3DCF-48F1-B692-3C252E9F698A}">
  <dimension ref="A1:K536"/>
  <sheetViews>
    <sheetView workbookViewId="0"/>
  </sheetViews>
  <sheetFormatPr defaultRowHeight="15" x14ac:dyDescent="0.25"/>
  <cols>
    <col min="2" max="2" width="25.42578125" customWidth="1"/>
  </cols>
  <sheetData>
    <row r="1" spans="1:2" x14ac:dyDescent="0.25">
      <c r="A1" t="s">
        <v>259</v>
      </c>
    </row>
    <row r="2" spans="1:2" x14ac:dyDescent="0.25">
      <c r="A2">
        <v>352</v>
      </c>
      <c r="B2" t="s">
        <v>612</v>
      </c>
    </row>
    <row r="3" spans="1:2" x14ac:dyDescent="0.25">
      <c r="A3">
        <v>56</v>
      </c>
      <c r="B3" t="s">
        <v>316</v>
      </c>
    </row>
    <row r="4" spans="1:2" x14ac:dyDescent="0.25">
      <c r="A4">
        <v>333</v>
      </c>
      <c r="B4" t="s">
        <v>593</v>
      </c>
    </row>
    <row r="5" spans="1:2" x14ac:dyDescent="0.25">
      <c r="A5">
        <v>367</v>
      </c>
      <c r="B5" t="s">
        <v>627</v>
      </c>
    </row>
    <row r="6" spans="1:2" x14ac:dyDescent="0.25">
      <c r="A6">
        <v>122</v>
      </c>
      <c r="B6" t="s">
        <v>382</v>
      </c>
    </row>
    <row r="7" spans="1:2" x14ac:dyDescent="0.25">
      <c r="A7">
        <v>78</v>
      </c>
      <c r="B7" t="s">
        <v>338</v>
      </c>
    </row>
    <row r="8" spans="1:2" x14ac:dyDescent="0.25">
      <c r="A8">
        <v>411</v>
      </c>
      <c r="B8" t="s">
        <v>671</v>
      </c>
    </row>
    <row r="9" spans="1:2" x14ac:dyDescent="0.25">
      <c r="A9">
        <v>50</v>
      </c>
      <c r="B9" t="s">
        <v>310</v>
      </c>
    </row>
    <row r="10" spans="1:2" x14ac:dyDescent="0.25">
      <c r="A10">
        <v>171</v>
      </c>
      <c r="B10" t="s">
        <v>431</v>
      </c>
    </row>
    <row r="11" spans="1:2" x14ac:dyDescent="0.25">
      <c r="A11">
        <v>446</v>
      </c>
      <c r="B11" t="s">
        <v>706</v>
      </c>
    </row>
    <row r="12" spans="1:2" x14ac:dyDescent="0.25">
      <c r="A12">
        <v>127</v>
      </c>
      <c r="B12" t="s">
        <v>387</v>
      </c>
    </row>
    <row r="13" spans="1:2" x14ac:dyDescent="0.25">
      <c r="A13">
        <v>354</v>
      </c>
      <c r="B13" t="s">
        <v>614</v>
      </c>
    </row>
    <row r="14" spans="1:2" x14ac:dyDescent="0.25">
      <c r="A14">
        <v>421</v>
      </c>
      <c r="B14" t="s">
        <v>681</v>
      </c>
    </row>
    <row r="15" spans="1:2" x14ac:dyDescent="0.25">
      <c r="A15">
        <v>430</v>
      </c>
      <c r="B15" t="s">
        <v>690</v>
      </c>
    </row>
    <row r="16" spans="1:2" x14ac:dyDescent="0.25">
      <c r="A16">
        <v>204</v>
      </c>
      <c r="B16" t="s">
        <v>464</v>
      </c>
    </row>
    <row r="17" spans="1:2" x14ac:dyDescent="0.25">
      <c r="A17">
        <v>392</v>
      </c>
      <c r="B17" t="s">
        <v>652</v>
      </c>
    </row>
    <row r="18" spans="1:2" x14ac:dyDescent="0.25">
      <c r="A18">
        <v>53</v>
      </c>
      <c r="B18" t="s">
        <v>313</v>
      </c>
    </row>
    <row r="19" spans="1:2" x14ac:dyDescent="0.25">
      <c r="A19">
        <v>344</v>
      </c>
      <c r="B19" t="s">
        <v>604</v>
      </c>
    </row>
    <row r="20" spans="1:2" x14ac:dyDescent="0.25">
      <c r="A20">
        <v>405</v>
      </c>
      <c r="B20" t="s">
        <v>665</v>
      </c>
    </row>
    <row r="21" spans="1:2" x14ac:dyDescent="0.25">
      <c r="A21">
        <v>310</v>
      </c>
      <c r="B21" t="s">
        <v>570</v>
      </c>
    </row>
    <row r="22" spans="1:2" x14ac:dyDescent="0.25">
      <c r="A22">
        <v>330</v>
      </c>
      <c r="B22" t="s">
        <v>590</v>
      </c>
    </row>
    <row r="23" spans="1:2" x14ac:dyDescent="0.25">
      <c r="A23">
        <v>373</v>
      </c>
      <c r="B23" t="s">
        <v>633</v>
      </c>
    </row>
    <row r="24" spans="1:2" x14ac:dyDescent="0.25">
      <c r="A24">
        <v>15</v>
      </c>
      <c r="B24" t="s">
        <v>275</v>
      </c>
    </row>
    <row r="25" spans="1:2" x14ac:dyDescent="0.25">
      <c r="A25">
        <v>90</v>
      </c>
      <c r="B25" t="s">
        <v>350</v>
      </c>
    </row>
    <row r="26" spans="1:2" x14ac:dyDescent="0.25">
      <c r="A26">
        <v>38</v>
      </c>
      <c r="B26" t="s">
        <v>298</v>
      </c>
    </row>
    <row r="27" spans="1:2" x14ac:dyDescent="0.25">
      <c r="A27">
        <v>247</v>
      </c>
      <c r="B27" t="s">
        <v>507</v>
      </c>
    </row>
    <row r="28" spans="1:2" x14ac:dyDescent="0.25">
      <c r="A28">
        <v>297</v>
      </c>
      <c r="B28" t="s">
        <v>557</v>
      </c>
    </row>
    <row r="29" spans="1:2" x14ac:dyDescent="0.25">
      <c r="A29">
        <v>378</v>
      </c>
      <c r="B29" t="s">
        <v>638</v>
      </c>
    </row>
    <row r="30" spans="1:2" x14ac:dyDescent="0.25">
      <c r="A30">
        <v>219</v>
      </c>
      <c r="B30" t="s">
        <v>479</v>
      </c>
    </row>
    <row r="31" spans="1:2" x14ac:dyDescent="0.25">
      <c r="A31">
        <v>136</v>
      </c>
      <c r="B31" t="s">
        <v>396</v>
      </c>
    </row>
    <row r="32" spans="1:2" x14ac:dyDescent="0.25">
      <c r="A32">
        <v>94</v>
      </c>
      <c r="B32" t="s">
        <v>354</v>
      </c>
    </row>
    <row r="33" spans="1:2" x14ac:dyDescent="0.25">
      <c r="A33">
        <v>445</v>
      </c>
      <c r="B33" t="s">
        <v>705</v>
      </c>
    </row>
    <row r="34" spans="1:2" x14ac:dyDescent="0.25">
      <c r="A34">
        <v>244</v>
      </c>
      <c r="B34" t="s">
        <v>504</v>
      </c>
    </row>
    <row r="35" spans="1:2" x14ac:dyDescent="0.25">
      <c r="A35">
        <v>273</v>
      </c>
      <c r="B35" t="s">
        <v>533</v>
      </c>
    </row>
    <row r="36" spans="1:2" x14ac:dyDescent="0.25">
      <c r="A36">
        <v>253</v>
      </c>
      <c r="B36" t="s">
        <v>513</v>
      </c>
    </row>
    <row r="37" spans="1:2" x14ac:dyDescent="0.25">
      <c r="A37">
        <v>126</v>
      </c>
      <c r="B37" t="s">
        <v>386</v>
      </c>
    </row>
    <row r="38" spans="1:2" x14ac:dyDescent="0.25">
      <c r="A38">
        <v>26</v>
      </c>
      <c r="B38" t="s">
        <v>286</v>
      </c>
    </row>
    <row r="39" spans="1:2" x14ac:dyDescent="0.25">
      <c r="A39">
        <v>251</v>
      </c>
      <c r="B39" t="s">
        <v>511</v>
      </c>
    </row>
    <row r="40" spans="1:2" x14ac:dyDescent="0.25">
      <c r="A40">
        <v>55</v>
      </c>
      <c r="B40" t="s">
        <v>315</v>
      </c>
    </row>
    <row r="41" spans="1:2" x14ac:dyDescent="0.25">
      <c r="A41">
        <v>62</v>
      </c>
      <c r="B41" t="s">
        <v>322</v>
      </c>
    </row>
    <row r="42" spans="1:2" x14ac:dyDescent="0.25">
      <c r="A42">
        <v>249</v>
      </c>
      <c r="B42" t="s">
        <v>509</v>
      </c>
    </row>
    <row r="43" spans="1:2" x14ac:dyDescent="0.25">
      <c r="A43">
        <v>224</v>
      </c>
      <c r="B43" t="s">
        <v>484</v>
      </c>
    </row>
    <row r="44" spans="1:2" x14ac:dyDescent="0.25">
      <c r="A44">
        <v>237</v>
      </c>
      <c r="B44" t="s">
        <v>497</v>
      </c>
    </row>
    <row r="45" spans="1:2" x14ac:dyDescent="0.25">
      <c r="A45">
        <v>114</v>
      </c>
      <c r="B45" t="s">
        <v>374</v>
      </c>
    </row>
    <row r="46" spans="1:2" x14ac:dyDescent="0.25">
      <c r="A46">
        <v>184</v>
      </c>
      <c r="B46" t="s">
        <v>444</v>
      </c>
    </row>
    <row r="47" spans="1:2" x14ac:dyDescent="0.25">
      <c r="A47">
        <v>164</v>
      </c>
      <c r="B47" t="s">
        <v>424</v>
      </c>
    </row>
    <row r="48" spans="1:2" x14ac:dyDescent="0.25">
      <c r="A48">
        <v>256</v>
      </c>
      <c r="B48" t="s">
        <v>516</v>
      </c>
    </row>
    <row r="49" spans="1:2" x14ac:dyDescent="0.25">
      <c r="A49">
        <v>87</v>
      </c>
      <c r="B49" t="s">
        <v>347</v>
      </c>
    </row>
    <row r="50" spans="1:2" x14ac:dyDescent="0.25">
      <c r="A50">
        <v>248</v>
      </c>
      <c r="B50" t="s">
        <v>508</v>
      </c>
    </row>
    <row r="51" spans="1:2" x14ac:dyDescent="0.25">
      <c r="A51">
        <v>287</v>
      </c>
      <c r="B51" t="s">
        <v>547</v>
      </c>
    </row>
    <row r="52" spans="1:2" x14ac:dyDescent="0.25">
      <c r="A52">
        <v>177</v>
      </c>
      <c r="B52" t="s">
        <v>437</v>
      </c>
    </row>
    <row r="53" spans="1:2" x14ac:dyDescent="0.25">
      <c r="A53">
        <v>260</v>
      </c>
      <c r="B53" t="s">
        <v>520</v>
      </c>
    </row>
    <row r="54" spans="1:2" x14ac:dyDescent="0.25">
      <c r="A54">
        <v>257</v>
      </c>
      <c r="B54" t="s">
        <v>517</v>
      </c>
    </row>
    <row r="55" spans="1:2" x14ac:dyDescent="0.25">
      <c r="A55">
        <v>231</v>
      </c>
      <c r="B55" t="s">
        <v>491</v>
      </c>
    </row>
    <row r="56" spans="1:2" x14ac:dyDescent="0.25">
      <c r="A56">
        <v>216</v>
      </c>
      <c r="B56" t="s">
        <v>476</v>
      </c>
    </row>
    <row r="57" spans="1:2" x14ac:dyDescent="0.25">
      <c r="A57">
        <v>262</v>
      </c>
      <c r="B57" t="s">
        <v>522</v>
      </c>
    </row>
    <row r="58" spans="1:2" x14ac:dyDescent="0.25">
      <c r="A58">
        <v>385</v>
      </c>
      <c r="B58" t="s">
        <v>645</v>
      </c>
    </row>
    <row r="59" spans="1:2" x14ac:dyDescent="0.25">
      <c r="A59">
        <v>52</v>
      </c>
      <c r="B59" t="s">
        <v>312</v>
      </c>
    </row>
    <row r="60" spans="1:2" x14ac:dyDescent="0.25">
      <c r="A60">
        <v>149</v>
      </c>
      <c r="B60" t="s">
        <v>409</v>
      </c>
    </row>
    <row r="61" spans="1:2" x14ac:dyDescent="0.25">
      <c r="A61">
        <v>293</v>
      </c>
      <c r="B61" t="s">
        <v>553</v>
      </c>
    </row>
    <row r="62" spans="1:2" x14ac:dyDescent="0.25">
      <c r="A62">
        <v>140</v>
      </c>
      <c r="B62" t="s">
        <v>400</v>
      </c>
    </row>
    <row r="63" spans="1:2" x14ac:dyDescent="0.25">
      <c r="A63">
        <v>314</v>
      </c>
      <c r="B63" t="s">
        <v>574</v>
      </c>
    </row>
    <row r="64" spans="1:2" x14ac:dyDescent="0.25">
      <c r="A64">
        <v>390</v>
      </c>
      <c r="B64" t="s">
        <v>650</v>
      </c>
    </row>
    <row r="65" spans="1:2" x14ac:dyDescent="0.25">
      <c r="A65">
        <v>267</v>
      </c>
      <c r="B65" t="s">
        <v>527</v>
      </c>
    </row>
    <row r="66" spans="1:2" x14ac:dyDescent="0.25">
      <c r="A66">
        <v>268</v>
      </c>
      <c r="B66" t="s">
        <v>528</v>
      </c>
    </row>
    <row r="67" spans="1:2" x14ac:dyDescent="0.25">
      <c r="A67">
        <v>203</v>
      </c>
      <c r="B67" t="s">
        <v>463</v>
      </c>
    </row>
    <row r="68" spans="1:2" x14ac:dyDescent="0.25">
      <c r="A68">
        <v>89</v>
      </c>
      <c r="B68" t="s">
        <v>349</v>
      </c>
    </row>
    <row r="69" spans="1:2" x14ac:dyDescent="0.25">
      <c r="A69">
        <v>133</v>
      </c>
      <c r="B69" t="s">
        <v>393</v>
      </c>
    </row>
    <row r="70" spans="1:2" x14ac:dyDescent="0.25">
      <c r="A70">
        <v>315</v>
      </c>
      <c r="B70" t="s">
        <v>575</v>
      </c>
    </row>
    <row r="71" spans="1:2" x14ac:dyDescent="0.25">
      <c r="A71">
        <v>66</v>
      </c>
      <c r="B71" t="s">
        <v>326</v>
      </c>
    </row>
    <row r="72" spans="1:2" x14ac:dyDescent="0.25">
      <c r="A72">
        <v>278</v>
      </c>
      <c r="B72" t="s">
        <v>538</v>
      </c>
    </row>
    <row r="73" spans="1:2" x14ac:dyDescent="0.25">
      <c r="A73">
        <v>277</v>
      </c>
      <c r="B73" t="s">
        <v>537</v>
      </c>
    </row>
    <row r="74" spans="1:2" x14ac:dyDescent="0.25">
      <c r="A74">
        <v>275</v>
      </c>
      <c r="B74" t="s">
        <v>535</v>
      </c>
    </row>
    <row r="75" spans="1:2" x14ac:dyDescent="0.25">
      <c r="A75">
        <v>281</v>
      </c>
      <c r="B75" t="s">
        <v>541</v>
      </c>
    </row>
    <row r="76" spans="1:2" x14ac:dyDescent="0.25">
      <c r="A76">
        <v>48</v>
      </c>
      <c r="B76" t="s">
        <v>308</v>
      </c>
    </row>
    <row r="77" spans="1:2" x14ac:dyDescent="0.25">
      <c r="A77">
        <v>82</v>
      </c>
      <c r="B77" t="s">
        <v>342</v>
      </c>
    </row>
    <row r="78" spans="1:2" x14ac:dyDescent="0.25">
      <c r="A78">
        <v>212</v>
      </c>
      <c r="B78" t="s">
        <v>472</v>
      </c>
    </row>
    <row r="79" spans="1:2" x14ac:dyDescent="0.25">
      <c r="A79">
        <v>153</v>
      </c>
      <c r="B79" t="s">
        <v>413</v>
      </c>
    </row>
    <row r="80" spans="1:2" x14ac:dyDescent="0.25">
      <c r="A80">
        <v>154</v>
      </c>
      <c r="B80" t="s">
        <v>414</v>
      </c>
    </row>
    <row r="81" spans="1:2" x14ac:dyDescent="0.25">
      <c r="A81">
        <v>155</v>
      </c>
      <c r="B81" t="s">
        <v>415</v>
      </c>
    </row>
    <row r="82" spans="1:2" x14ac:dyDescent="0.25">
      <c r="A82">
        <v>157</v>
      </c>
      <c r="B82" t="s">
        <v>417</v>
      </c>
    </row>
    <row r="83" spans="1:2" x14ac:dyDescent="0.25">
      <c r="A83">
        <v>188</v>
      </c>
      <c r="B83" t="s">
        <v>448</v>
      </c>
    </row>
    <row r="84" spans="1:2" x14ac:dyDescent="0.25">
      <c r="A84">
        <v>182</v>
      </c>
      <c r="B84" t="s">
        <v>442</v>
      </c>
    </row>
    <row r="85" spans="1:2" x14ac:dyDescent="0.25">
      <c r="A85">
        <v>331</v>
      </c>
      <c r="B85" t="s">
        <v>591</v>
      </c>
    </row>
    <row r="86" spans="1:2" x14ac:dyDescent="0.25">
      <c r="A86">
        <v>116</v>
      </c>
      <c r="B86" t="s">
        <v>376</v>
      </c>
    </row>
    <row r="87" spans="1:2" x14ac:dyDescent="0.25">
      <c r="A87">
        <v>449</v>
      </c>
      <c r="B87" t="s">
        <v>709</v>
      </c>
    </row>
    <row r="88" spans="1:2" x14ac:dyDescent="0.25">
      <c r="A88">
        <v>358</v>
      </c>
      <c r="B88" t="s">
        <v>618</v>
      </c>
    </row>
    <row r="89" spans="1:2" x14ac:dyDescent="0.25">
      <c r="A89">
        <v>37</v>
      </c>
      <c r="B89" t="s">
        <v>297</v>
      </c>
    </row>
    <row r="90" spans="1:2" x14ac:dyDescent="0.25">
      <c r="A90">
        <v>120</v>
      </c>
      <c r="B90" t="s">
        <v>380</v>
      </c>
    </row>
    <row r="91" spans="1:2" x14ac:dyDescent="0.25">
      <c r="A91">
        <v>12</v>
      </c>
      <c r="B91" t="s">
        <v>272</v>
      </c>
    </row>
    <row r="92" spans="1:2" x14ac:dyDescent="0.25">
      <c r="A92">
        <v>266</v>
      </c>
      <c r="B92" t="s">
        <v>526</v>
      </c>
    </row>
    <row r="93" spans="1:2" x14ac:dyDescent="0.25">
      <c r="A93">
        <v>93</v>
      </c>
      <c r="B93" t="s">
        <v>353</v>
      </c>
    </row>
    <row r="94" spans="1:2" x14ac:dyDescent="0.25">
      <c r="A94">
        <v>96</v>
      </c>
      <c r="B94" t="s">
        <v>356</v>
      </c>
    </row>
    <row r="95" spans="1:2" x14ac:dyDescent="0.25">
      <c r="A95">
        <v>91</v>
      </c>
      <c r="B95" t="s">
        <v>351</v>
      </c>
    </row>
    <row r="96" spans="1:2" x14ac:dyDescent="0.25">
      <c r="A96">
        <v>97</v>
      </c>
      <c r="B96" t="s">
        <v>357</v>
      </c>
    </row>
    <row r="97" spans="1:2" x14ac:dyDescent="0.25">
      <c r="A97">
        <v>95</v>
      </c>
      <c r="B97" t="s">
        <v>355</v>
      </c>
    </row>
    <row r="98" spans="1:2" x14ac:dyDescent="0.25">
      <c r="A98">
        <v>434</v>
      </c>
      <c r="B98" t="s">
        <v>694</v>
      </c>
    </row>
    <row r="99" spans="1:2" x14ac:dyDescent="0.25">
      <c r="A99">
        <v>156</v>
      </c>
      <c r="B99" t="s">
        <v>416</v>
      </c>
    </row>
    <row r="100" spans="1:2" x14ac:dyDescent="0.25">
      <c r="A100">
        <v>235</v>
      </c>
      <c r="B100" t="s">
        <v>495</v>
      </c>
    </row>
    <row r="101" spans="1:2" x14ac:dyDescent="0.25">
      <c r="A101">
        <v>255</v>
      </c>
      <c r="B101" t="s">
        <v>515</v>
      </c>
    </row>
    <row r="102" spans="1:2" x14ac:dyDescent="0.25">
      <c r="A102">
        <v>166</v>
      </c>
      <c r="B102" t="s">
        <v>426</v>
      </c>
    </row>
    <row r="103" spans="1:2" x14ac:dyDescent="0.25">
      <c r="A103">
        <v>143</v>
      </c>
      <c r="B103" t="s">
        <v>403</v>
      </c>
    </row>
    <row r="104" spans="1:2" x14ac:dyDescent="0.25">
      <c r="A104">
        <v>221</v>
      </c>
      <c r="B104" t="s">
        <v>481</v>
      </c>
    </row>
    <row r="105" spans="1:2" x14ac:dyDescent="0.25">
      <c r="A105">
        <v>388</v>
      </c>
      <c r="B105" t="s">
        <v>648</v>
      </c>
    </row>
    <row r="106" spans="1:2" x14ac:dyDescent="0.25">
      <c r="A106">
        <v>226</v>
      </c>
      <c r="B106" t="s">
        <v>486</v>
      </c>
    </row>
    <row r="107" spans="1:2" x14ac:dyDescent="0.25">
      <c r="A107">
        <v>402</v>
      </c>
      <c r="B107" t="s">
        <v>662</v>
      </c>
    </row>
    <row r="108" spans="1:2" x14ac:dyDescent="0.25">
      <c r="A108">
        <v>442</v>
      </c>
      <c r="B108" t="s">
        <v>702</v>
      </c>
    </row>
    <row r="109" spans="1:2" x14ac:dyDescent="0.25">
      <c r="A109">
        <v>245</v>
      </c>
      <c r="B109" t="s">
        <v>505</v>
      </c>
    </row>
    <row r="110" spans="1:2" x14ac:dyDescent="0.25">
      <c r="A110">
        <v>246</v>
      </c>
      <c r="B110" t="s">
        <v>506</v>
      </c>
    </row>
    <row r="111" spans="1:2" x14ac:dyDescent="0.25">
      <c r="A111">
        <v>239</v>
      </c>
      <c r="B111" t="s">
        <v>499</v>
      </c>
    </row>
    <row r="112" spans="1:2" x14ac:dyDescent="0.25">
      <c r="A112">
        <v>240</v>
      </c>
      <c r="B112" t="s">
        <v>500</v>
      </c>
    </row>
    <row r="113" spans="1:2" x14ac:dyDescent="0.25">
      <c r="A113">
        <v>334</v>
      </c>
      <c r="B113" t="s">
        <v>594</v>
      </c>
    </row>
    <row r="114" spans="1:2" x14ac:dyDescent="0.25">
      <c r="A114">
        <v>428</v>
      </c>
      <c r="B114" t="s">
        <v>688</v>
      </c>
    </row>
    <row r="115" spans="1:2" x14ac:dyDescent="0.25">
      <c r="A115">
        <v>328</v>
      </c>
      <c r="B115" t="s">
        <v>588</v>
      </c>
    </row>
    <row r="116" spans="1:2" x14ac:dyDescent="0.25">
      <c r="A116">
        <v>316</v>
      </c>
      <c r="B116" t="s">
        <v>576</v>
      </c>
    </row>
    <row r="117" spans="1:2" x14ac:dyDescent="0.25">
      <c r="A117">
        <v>134</v>
      </c>
      <c r="B117" t="s">
        <v>394</v>
      </c>
    </row>
    <row r="118" spans="1:2" x14ac:dyDescent="0.25">
      <c r="A118">
        <v>41</v>
      </c>
      <c r="B118" t="s">
        <v>301</v>
      </c>
    </row>
    <row r="119" spans="1:2" x14ac:dyDescent="0.25">
      <c r="A119">
        <v>54</v>
      </c>
      <c r="B119" t="s">
        <v>314</v>
      </c>
    </row>
    <row r="120" spans="1:2" x14ac:dyDescent="0.25">
      <c r="A120">
        <v>412</v>
      </c>
      <c r="B120" t="s">
        <v>672</v>
      </c>
    </row>
    <row r="121" spans="1:2" x14ac:dyDescent="0.25">
      <c r="A121">
        <v>351</v>
      </c>
      <c r="B121" t="s">
        <v>611</v>
      </c>
    </row>
    <row r="122" spans="1:2" x14ac:dyDescent="0.25">
      <c r="A122">
        <v>409</v>
      </c>
      <c r="B122" t="s">
        <v>669</v>
      </c>
    </row>
    <row r="123" spans="1:2" x14ac:dyDescent="0.25">
      <c r="A123">
        <v>214</v>
      </c>
      <c r="B123" t="s">
        <v>474</v>
      </c>
    </row>
    <row r="124" spans="1:2" x14ac:dyDescent="0.25">
      <c r="A124">
        <v>298</v>
      </c>
      <c r="B124" t="s">
        <v>558</v>
      </c>
    </row>
    <row r="125" spans="1:2" x14ac:dyDescent="0.25">
      <c r="A125">
        <v>119</v>
      </c>
      <c r="B125" t="s">
        <v>379</v>
      </c>
    </row>
    <row r="126" spans="1:2" x14ac:dyDescent="0.25">
      <c r="A126">
        <v>31</v>
      </c>
      <c r="B126" t="s">
        <v>291</v>
      </c>
    </row>
    <row r="127" spans="1:2" x14ac:dyDescent="0.25">
      <c r="A127">
        <v>142</v>
      </c>
      <c r="B127" t="s">
        <v>402</v>
      </c>
    </row>
    <row r="128" spans="1:2" x14ac:dyDescent="0.25">
      <c r="A128">
        <v>151</v>
      </c>
      <c r="B128" t="s">
        <v>411</v>
      </c>
    </row>
    <row r="129" spans="1:2" x14ac:dyDescent="0.25">
      <c r="A129">
        <v>159</v>
      </c>
      <c r="B129" t="s">
        <v>419</v>
      </c>
    </row>
    <row r="130" spans="1:2" x14ac:dyDescent="0.25">
      <c r="A130">
        <v>303</v>
      </c>
      <c r="B130" t="s">
        <v>563</v>
      </c>
    </row>
    <row r="131" spans="1:2" x14ac:dyDescent="0.25">
      <c r="A131">
        <v>364</v>
      </c>
      <c r="B131" t="s">
        <v>624</v>
      </c>
    </row>
    <row r="132" spans="1:2" x14ac:dyDescent="0.25">
      <c r="A132">
        <v>295</v>
      </c>
      <c r="B132" t="s">
        <v>555</v>
      </c>
    </row>
    <row r="133" spans="1:2" x14ac:dyDescent="0.25">
      <c r="A133">
        <v>16</v>
      </c>
      <c r="B133" t="s">
        <v>276</v>
      </c>
    </row>
    <row r="134" spans="1:2" x14ac:dyDescent="0.25">
      <c r="A134">
        <v>141</v>
      </c>
      <c r="B134" t="s">
        <v>401</v>
      </c>
    </row>
    <row r="135" spans="1:2" x14ac:dyDescent="0.25">
      <c r="A135">
        <v>396</v>
      </c>
      <c r="B135" t="s">
        <v>656</v>
      </c>
    </row>
    <row r="136" spans="1:2" x14ac:dyDescent="0.25">
      <c r="A136">
        <v>243</v>
      </c>
      <c r="B136" t="s">
        <v>503</v>
      </c>
    </row>
    <row r="137" spans="1:2" x14ac:dyDescent="0.25">
      <c r="A137">
        <v>209</v>
      </c>
      <c r="B137" t="s">
        <v>469</v>
      </c>
    </row>
    <row r="138" spans="1:2" x14ac:dyDescent="0.25">
      <c r="A138">
        <v>17</v>
      </c>
      <c r="B138" t="s">
        <v>277</v>
      </c>
    </row>
    <row r="139" spans="1:2" x14ac:dyDescent="0.25">
      <c r="A139">
        <v>193</v>
      </c>
      <c r="B139" t="s">
        <v>453</v>
      </c>
    </row>
    <row r="140" spans="1:2" x14ac:dyDescent="0.25">
      <c r="A140">
        <v>363</v>
      </c>
      <c r="B140" t="s">
        <v>623</v>
      </c>
    </row>
    <row r="141" spans="1:2" x14ac:dyDescent="0.25">
      <c r="A141">
        <v>236</v>
      </c>
      <c r="B141" t="s">
        <v>496</v>
      </c>
    </row>
    <row r="142" spans="1:2" x14ac:dyDescent="0.25">
      <c r="A142">
        <v>42</v>
      </c>
      <c r="B142" t="s">
        <v>302</v>
      </c>
    </row>
    <row r="143" spans="1:2" x14ac:dyDescent="0.25">
      <c r="A143">
        <v>453</v>
      </c>
      <c r="B143" t="s">
        <v>713</v>
      </c>
    </row>
    <row r="144" spans="1:2" x14ac:dyDescent="0.25">
      <c r="A144">
        <v>347</v>
      </c>
      <c r="B144" t="s">
        <v>607</v>
      </c>
    </row>
    <row r="145" spans="1:2" x14ac:dyDescent="0.25">
      <c r="A145">
        <v>1</v>
      </c>
      <c r="B145" t="s">
        <v>261</v>
      </c>
    </row>
    <row r="146" spans="1:2" x14ac:dyDescent="0.25">
      <c r="A146">
        <v>433</v>
      </c>
      <c r="B146" t="s">
        <v>693</v>
      </c>
    </row>
    <row r="147" spans="1:2" x14ac:dyDescent="0.25">
      <c r="A147">
        <v>250</v>
      </c>
      <c r="B147" t="s">
        <v>510</v>
      </c>
    </row>
    <row r="148" spans="1:2" x14ac:dyDescent="0.25">
      <c r="A148">
        <v>261</v>
      </c>
      <c r="B148" t="s">
        <v>521</v>
      </c>
    </row>
    <row r="149" spans="1:2" x14ac:dyDescent="0.25">
      <c r="A149">
        <v>283</v>
      </c>
      <c r="B149" t="s">
        <v>543</v>
      </c>
    </row>
    <row r="150" spans="1:2" x14ac:dyDescent="0.25">
      <c r="A150">
        <v>418</v>
      </c>
      <c r="B150" t="s">
        <v>678</v>
      </c>
    </row>
    <row r="151" spans="1:2" x14ac:dyDescent="0.25">
      <c r="A151">
        <v>435</v>
      </c>
      <c r="B151" t="s">
        <v>695</v>
      </c>
    </row>
    <row r="152" spans="1:2" x14ac:dyDescent="0.25">
      <c r="A152">
        <v>25</v>
      </c>
      <c r="B152" t="s">
        <v>285</v>
      </c>
    </row>
    <row r="153" spans="1:2" x14ac:dyDescent="0.25">
      <c r="A153">
        <v>238</v>
      </c>
      <c r="B153" t="s">
        <v>498</v>
      </c>
    </row>
    <row r="154" spans="1:2" x14ac:dyDescent="0.25">
      <c r="A154">
        <v>419</v>
      </c>
      <c r="B154" t="s">
        <v>679</v>
      </c>
    </row>
    <row r="155" spans="1:2" x14ac:dyDescent="0.25">
      <c r="A155">
        <v>274</v>
      </c>
      <c r="B155" t="s">
        <v>534</v>
      </c>
    </row>
    <row r="156" spans="1:2" x14ac:dyDescent="0.25">
      <c r="A156">
        <v>165</v>
      </c>
      <c r="B156" t="s">
        <v>425</v>
      </c>
    </row>
    <row r="157" spans="1:2" x14ac:dyDescent="0.25">
      <c r="A157">
        <v>57</v>
      </c>
      <c r="B157" t="s">
        <v>317</v>
      </c>
    </row>
    <row r="158" spans="1:2" x14ac:dyDescent="0.25">
      <c r="A158">
        <v>217</v>
      </c>
      <c r="B158" t="s">
        <v>477</v>
      </c>
    </row>
    <row r="159" spans="1:2" x14ac:dyDescent="0.25">
      <c r="A159">
        <v>285</v>
      </c>
      <c r="B159" t="s">
        <v>545</v>
      </c>
    </row>
    <row r="160" spans="1:2" x14ac:dyDescent="0.25">
      <c r="A160">
        <v>424</v>
      </c>
      <c r="B160" t="s">
        <v>684</v>
      </c>
    </row>
    <row r="161" spans="1:2" x14ac:dyDescent="0.25">
      <c r="A161">
        <v>343</v>
      </c>
      <c r="B161" t="s">
        <v>603</v>
      </c>
    </row>
    <row r="162" spans="1:2" x14ac:dyDescent="0.25">
      <c r="A162">
        <v>398</v>
      </c>
      <c r="B162" t="s">
        <v>658</v>
      </c>
    </row>
    <row r="163" spans="1:2" x14ac:dyDescent="0.25">
      <c r="A163">
        <v>432</v>
      </c>
      <c r="B163" t="s">
        <v>692</v>
      </c>
    </row>
    <row r="164" spans="1:2" x14ac:dyDescent="0.25">
      <c r="A164">
        <v>259</v>
      </c>
      <c r="B164" t="s">
        <v>519</v>
      </c>
    </row>
    <row r="165" spans="1:2" x14ac:dyDescent="0.25">
      <c r="A165">
        <v>265</v>
      </c>
      <c r="B165" t="s">
        <v>525</v>
      </c>
    </row>
    <row r="166" spans="1:2" x14ac:dyDescent="0.25">
      <c r="A166">
        <v>305</v>
      </c>
      <c r="B166" t="s">
        <v>565</v>
      </c>
    </row>
    <row r="167" spans="1:2" x14ac:dyDescent="0.25">
      <c r="A167">
        <v>379</v>
      </c>
      <c r="B167" t="s">
        <v>639</v>
      </c>
    </row>
    <row r="168" spans="1:2" x14ac:dyDescent="0.25">
      <c r="A168">
        <v>197</v>
      </c>
      <c r="B168" t="s">
        <v>457</v>
      </c>
    </row>
    <row r="169" spans="1:2" x14ac:dyDescent="0.25">
      <c r="A169">
        <v>45</v>
      </c>
      <c r="B169" t="s">
        <v>305</v>
      </c>
    </row>
    <row r="170" spans="1:2" x14ac:dyDescent="0.25">
      <c r="A170">
        <v>117</v>
      </c>
      <c r="B170" t="s">
        <v>377</v>
      </c>
    </row>
    <row r="171" spans="1:2" x14ac:dyDescent="0.25">
      <c r="A171">
        <v>123</v>
      </c>
      <c r="B171" t="s">
        <v>383</v>
      </c>
    </row>
    <row r="172" spans="1:2" x14ac:dyDescent="0.25">
      <c r="A172">
        <v>128</v>
      </c>
      <c r="B172" t="s">
        <v>388</v>
      </c>
    </row>
    <row r="173" spans="1:2" x14ac:dyDescent="0.25">
      <c r="A173">
        <v>391</v>
      </c>
      <c r="B173" t="s">
        <v>651</v>
      </c>
    </row>
    <row r="174" spans="1:2" x14ac:dyDescent="0.25">
      <c r="A174">
        <v>170</v>
      </c>
      <c r="B174" t="s">
        <v>430</v>
      </c>
    </row>
    <row r="175" spans="1:2" x14ac:dyDescent="0.25">
      <c r="A175">
        <v>332</v>
      </c>
      <c r="B175" t="s">
        <v>592</v>
      </c>
    </row>
    <row r="176" spans="1:2" x14ac:dyDescent="0.25">
      <c r="A176">
        <v>14</v>
      </c>
      <c r="B176" t="s">
        <v>274</v>
      </c>
    </row>
    <row r="177" spans="1:2" x14ac:dyDescent="0.25">
      <c r="A177">
        <v>312</v>
      </c>
      <c r="B177" t="s">
        <v>572</v>
      </c>
    </row>
    <row r="178" spans="1:2" x14ac:dyDescent="0.25">
      <c r="A178">
        <v>152</v>
      </c>
      <c r="B178" t="s">
        <v>412</v>
      </c>
    </row>
    <row r="179" spans="1:2" x14ac:dyDescent="0.25">
      <c r="A179">
        <v>206</v>
      </c>
      <c r="B179" t="s">
        <v>466</v>
      </c>
    </row>
    <row r="180" spans="1:2" x14ac:dyDescent="0.25">
      <c r="A180">
        <v>160</v>
      </c>
      <c r="B180" t="s">
        <v>420</v>
      </c>
    </row>
    <row r="181" spans="1:2" x14ac:dyDescent="0.25">
      <c r="A181">
        <v>318</v>
      </c>
      <c r="B181" t="s">
        <v>578</v>
      </c>
    </row>
    <row r="182" spans="1:2" x14ac:dyDescent="0.25">
      <c r="A182">
        <v>139</v>
      </c>
      <c r="B182" t="s">
        <v>399</v>
      </c>
    </row>
    <row r="183" spans="1:2" x14ac:dyDescent="0.25">
      <c r="A183">
        <v>196</v>
      </c>
      <c r="B183" t="s">
        <v>456</v>
      </c>
    </row>
    <row r="184" spans="1:2" x14ac:dyDescent="0.25">
      <c r="A184">
        <v>376</v>
      </c>
      <c r="B184" t="s">
        <v>636</v>
      </c>
    </row>
    <row r="185" spans="1:2" x14ac:dyDescent="0.25">
      <c r="A185">
        <v>403</v>
      </c>
      <c r="B185" t="s">
        <v>663</v>
      </c>
    </row>
    <row r="186" spans="1:2" x14ac:dyDescent="0.25">
      <c r="A186">
        <v>103</v>
      </c>
      <c r="B186" t="s">
        <v>363</v>
      </c>
    </row>
    <row r="187" spans="1:2" x14ac:dyDescent="0.25">
      <c r="A187">
        <v>241</v>
      </c>
      <c r="B187" t="s">
        <v>501</v>
      </c>
    </row>
    <row r="188" spans="1:2" x14ac:dyDescent="0.25">
      <c r="A188">
        <v>121</v>
      </c>
      <c r="B188" t="s">
        <v>381</v>
      </c>
    </row>
    <row r="189" spans="1:2" x14ac:dyDescent="0.25">
      <c r="A189">
        <v>339</v>
      </c>
      <c r="B189" t="s">
        <v>599</v>
      </c>
    </row>
    <row r="190" spans="1:2" x14ac:dyDescent="0.25">
      <c r="A190">
        <v>342</v>
      </c>
      <c r="B190" t="s">
        <v>602</v>
      </c>
    </row>
    <row r="191" spans="1:2" x14ac:dyDescent="0.25">
      <c r="A191">
        <v>338</v>
      </c>
      <c r="B191" t="s">
        <v>598</v>
      </c>
    </row>
    <row r="192" spans="1:2" x14ac:dyDescent="0.25">
      <c r="A192">
        <v>340</v>
      </c>
      <c r="B192" t="s">
        <v>600</v>
      </c>
    </row>
    <row r="193" spans="1:2" x14ac:dyDescent="0.25">
      <c r="A193">
        <v>341</v>
      </c>
      <c r="B193" t="s">
        <v>601</v>
      </c>
    </row>
    <row r="194" spans="1:2" x14ac:dyDescent="0.25">
      <c r="A194">
        <v>359</v>
      </c>
      <c r="B194" t="s">
        <v>619</v>
      </c>
    </row>
    <row r="195" spans="1:2" x14ac:dyDescent="0.25">
      <c r="A195">
        <v>199</v>
      </c>
      <c r="B195" t="s">
        <v>459</v>
      </c>
    </row>
    <row r="196" spans="1:2" x14ac:dyDescent="0.25">
      <c r="A196">
        <v>187</v>
      </c>
      <c r="B196" t="s">
        <v>447</v>
      </c>
    </row>
    <row r="197" spans="1:2" x14ac:dyDescent="0.25">
      <c r="A197">
        <v>73</v>
      </c>
      <c r="B197" t="s">
        <v>333</v>
      </c>
    </row>
    <row r="198" spans="1:2" x14ac:dyDescent="0.25">
      <c r="A198">
        <v>61</v>
      </c>
      <c r="B198" t="s">
        <v>321</v>
      </c>
    </row>
    <row r="199" spans="1:2" x14ac:dyDescent="0.25">
      <c r="A199">
        <v>132</v>
      </c>
      <c r="B199" t="s">
        <v>392</v>
      </c>
    </row>
    <row r="200" spans="1:2" x14ac:dyDescent="0.25">
      <c r="A200">
        <v>33</v>
      </c>
      <c r="B200" t="s">
        <v>293</v>
      </c>
    </row>
    <row r="201" spans="1:2" x14ac:dyDescent="0.25">
      <c r="A201">
        <v>63</v>
      </c>
      <c r="B201" t="s">
        <v>323</v>
      </c>
    </row>
    <row r="202" spans="1:2" x14ac:dyDescent="0.25">
      <c r="A202">
        <v>414</v>
      </c>
      <c r="B202" t="s">
        <v>674</v>
      </c>
    </row>
    <row r="203" spans="1:2" x14ac:dyDescent="0.25">
      <c r="A203">
        <v>210</v>
      </c>
      <c r="B203" t="s">
        <v>470</v>
      </c>
    </row>
    <row r="204" spans="1:2" x14ac:dyDescent="0.25">
      <c r="A204">
        <v>325</v>
      </c>
      <c r="B204" t="s">
        <v>585</v>
      </c>
    </row>
    <row r="205" spans="1:2" x14ac:dyDescent="0.25">
      <c r="A205">
        <v>370</v>
      </c>
      <c r="B205" t="s">
        <v>630</v>
      </c>
    </row>
    <row r="206" spans="1:2" x14ac:dyDescent="0.25">
      <c r="A206">
        <v>179</v>
      </c>
      <c r="B206" t="s">
        <v>439</v>
      </c>
    </row>
    <row r="207" spans="1:2" x14ac:dyDescent="0.25">
      <c r="A207">
        <v>81</v>
      </c>
      <c r="B207" t="s">
        <v>341</v>
      </c>
    </row>
    <row r="208" spans="1:2" x14ac:dyDescent="0.25">
      <c r="A208">
        <v>192</v>
      </c>
      <c r="B208" t="s">
        <v>452</v>
      </c>
    </row>
    <row r="209" spans="1:2" x14ac:dyDescent="0.25">
      <c r="A209">
        <v>163</v>
      </c>
      <c r="B209" t="s">
        <v>423</v>
      </c>
    </row>
    <row r="210" spans="1:2" x14ac:dyDescent="0.25">
      <c r="A210">
        <v>368</v>
      </c>
      <c r="B210" t="s">
        <v>628</v>
      </c>
    </row>
    <row r="211" spans="1:2" x14ac:dyDescent="0.25">
      <c r="A211">
        <v>32</v>
      </c>
      <c r="B211" t="s">
        <v>292</v>
      </c>
    </row>
    <row r="212" spans="1:2" x14ac:dyDescent="0.25">
      <c r="A212">
        <v>190</v>
      </c>
      <c r="B212" t="s">
        <v>450</v>
      </c>
    </row>
    <row r="213" spans="1:2" x14ac:dyDescent="0.25">
      <c r="A213">
        <v>355</v>
      </c>
      <c r="B213" t="s">
        <v>615</v>
      </c>
    </row>
    <row r="214" spans="1:2" x14ac:dyDescent="0.25">
      <c r="A214">
        <v>382</v>
      </c>
      <c r="B214" t="s">
        <v>642</v>
      </c>
    </row>
    <row r="215" spans="1:2" x14ac:dyDescent="0.25">
      <c r="A215">
        <v>292</v>
      </c>
      <c r="B215" t="s">
        <v>552</v>
      </c>
    </row>
    <row r="216" spans="1:2" x14ac:dyDescent="0.25">
      <c r="A216">
        <v>168</v>
      </c>
      <c r="B216" t="s">
        <v>428</v>
      </c>
    </row>
    <row r="217" spans="1:2" x14ac:dyDescent="0.25">
      <c r="A217">
        <v>258</v>
      </c>
      <c r="B217" t="s">
        <v>518</v>
      </c>
    </row>
    <row r="218" spans="1:2" x14ac:dyDescent="0.25">
      <c r="A218">
        <v>360</v>
      </c>
      <c r="B218" t="s">
        <v>620</v>
      </c>
    </row>
    <row r="219" spans="1:2" x14ac:dyDescent="0.25">
      <c r="A219">
        <v>9</v>
      </c>
      <c r="B219" t="s">
        <v>269</v>
      </c>
    </row>
    <row r="220" spans="1:2" x14ac:dyDescent="0.25">
      <c r="A220">
        <v>276</v>
      </c>
      <c r="B220" t="s">
        <v>536</v>
      </c>
    </row>
    <row r="221" spans="1:2" x14ac:dyDescent="0.25">
      <c r="A221">
        <v>406</v>
      </c>
      <c r="B221" t="s">
        <v>666</v>
      </c>
    </row>
    <row r="222" spans="1:2" x14ac:dyDescent="0.25">
      <c r="A222">
        <v>202</v>
      </c>
      <c r="B222" t="s">
        <v>462</v>
      </c>
    </row>
    <row r="223" spans="1:2" x14ac:dyDescent="0.25">
      <c r="A223">
        <v>284</v>
      </c>
      <c r="B223" t="s">
        <v>544</v>
      </c>
    </row>
    <row r="224" spans="1:2" x14ac:dyDescent="0.25">
      <c r="A224">
        <v>299</v>
      </c>
      <c r="B224" t="s">
        <v>559</v>
      </c>
    </row>
    <row r="225" spans="1:2" x14ac:dyDescent="0.25">
      <c r="A225">
        <v>44</v>
      </c>
      <c r="B225" t="s">
        <v>304</v>
      </c>
    </row>
    <row r="226" spans="1:2" x14ac:dyDescent="0.25">
      <c r="A226">
        <v>186</v>
      </c>
      <c r="B226" t="s">
        <v>446</v>
      </c>
    </row>
    <row r="227" spans="1:2" x14ac:dyDescent="0.25">
      <c r="A227">
        <v>208</v>
      </c>
      <c r="B227" t="s">
        <v>468</v>
      </c>
    </row>
    <row r="228" spans="1:2" x14ac:dyDescent="0.25">
      <c r="A228">
        <v>280</v>
      </c>
      <c r="B228" t="s">
        <v>540</v>
      </c>
    </row>
    <row r="229" spans="1:2" x14ac:dyDescent="0.25">
      <c r="A229">
        <v>205</v>
      </c>
      <c r="B229" t="s">
        <v>465</v>
      </c>
    </row>
    <row r="230" spans="1:2" x14ac:dyDescent="0.25">
      <c r="A230">
        <v>346</v>
      </c>
      <c r="B230" t="s">
        <v>606</v>
      </c>
    </row>
    <row r="231" spans="1:2" x14ac:dyDescent="0.25">
      <c r="A231">
        <v>118</v>
      </c>
      <c r="B231" t="s">
        <v>378</v>
      </c>
    </row>
    <row r="232" spans="1:2" x14ac:dyDescent="0.25">
      <c r="A232">
        <v>225</v>
      </c>
      <c r="B232" t="s">
        <v>485</v>
      </c>
    </row>
    <row r="233" spans="1:2" x14ac:dyDescent="0.25">
      <c r="A233">
        <v>228</v>
      </c>
      <c r="B233" t="s">
        <v>488</v>
      </c>
    </row>
    <row r="234" spans="1:2" x14ac:dyDescent="0.25">
      <c r="A234">
        <v>311</v>
      </c>
      <c r="B234" t="s">
        <v>571</v>
      </c>
    </row>
    <row r="235" spans="1:2" x14ac:dyDescent="0.25">
      <c r="A235">
        <v>229</v>
      </c>
      <c r="B235" t="s">
        <v>489</v>
      </c>
    </row>
    <row r="236" spans="1:2" x14ac:dyDescent="0.25">
      <c r="A236">
        <v>302</v>
      </c>
      <c r="B236" t="s">
        <v>562</v>
      </c>
    </row>
    <row r="237" spans="1:2" x14ac:dyDescent="0.25">
      <c r="A237">
        <v>115</v>
      </c>
      <c r="B237" t="s">
        <v>375</v>
      </c>
    </row>
    <row r="238" spans="1:2" x14ac:dyDescent="0.25">
      <c r="A238">
        <v>113</v>
      </c>
      <c r="B238" t="s">
        <v>373</v>
      </c>
    </row>
    <row r="239" spans="1:2" x14ac:dyDescent="0.25">
      <c r="A239">
        <v>108</v>
      </c>
      <c r="B239" t="s">
        <v>368</v>
      </c>
    </row>
    <row r="240" spans="1:2" x14ac:dyDescent="0.25">
      <c r="A240">
        <v>427</v>
      </c>
      <c r="B240" t="s">
        <v>687</v>
      </c>
    </row>
    <row r="241" spans="1:2" x14ac:dyDescent="0.25">
      <c r="A241">
        <v>181</v>
      </c>
      <c r="B241" t="s">
        <v>441</v>
      </c>
    </row>
    <row r="242" spans="1:2" x14ac:dyDescent="0.25">
      <c r="A242">
        <v>104</v>
      </c>
      <c r="B242" t="s">
        <v>364</v>
      </c>
    </row>
    <row r="243" spans="1:2" x14ac:dyDescent="0.25">
      <c r="A243">
        <v>326</v>
      </c>
      <c r="B243" t="s">
        <v>586</v>
      </c>
    </row>
    <row r="244" spans="1:2" x14ac:dyDescent="0.25">
      <c r="A244">
        <v>425</v>
      </c>
      <c r="B244" t="s">
        <v>685</v>
      </c>
    </row>
    <row r="245" spans="1:2" x14ac:dyDescent="0.25">
      <c r="A245">
        <v>74</v>
      </c>
      <c r="B245" t="s">
        <v>334</v>
      </c>
    </row>
    <row r="246" spans="1:2" x14ac:dyDescent="0.25">
      <c r="A246">
        <v>399</v>
      </c>
      <c r="B246" t="s">
        <v>659</v>
      </c>
    </row>
    <row r="247" spans="1:2" x14ac:dyDescent="0.25">
      <c r="A247">
        <v>408</v>
      </c>
      <c r="B247" t="s">
        <v>668</v>
      </c>
    </row>
    <row r="248" spans="1:2" x14ac:dyDescent="0.25">
      <c r="A248">
        <v>437</v>
      </c>
      <c r="B248" t="s">
        <v>697</v>
      </c>
    </row>
    <row r="249" spans="1:2" x14ac:dyDescent="0.25">
      <c r="A249">
        <v>150</v>
      </c>
      <c r="B249" t="s">
        <v>410</v>
      </c>
    </row>
    <row r="250" spans="1:2" x14ac:dyDescent="0.25">
      <c r="A250">
        <v>35</v>
      </c>
      <c r="B250" t="s">
        <v>295</v>
      </c>
    </row>
    <row r="251" spans="1:2" x14ac:dyDescent="0.25">
      <c r="A251">
        <v>439</v>
      </c>
      <c r="B251" t="s">
        <v>699</v>
      </c>
    </row>
    <row r="252" spans="1:2" x14ac:dyDescent="0.25">
      <c r="A252">
        <v>21</v>
      </c>
      <c r="B252" t="s">
        <v>281</v>
      </c>
    </row>
    <row r="253" spans="1:2" x14ac:dyDescent="0.25">
      <c r="A253">
        <v>290</v>
      </c>
      <c r="B253" t="s">
        <v>550</v>
      </c>
    </row>
    <row r="254" spans="1:2" x14ac:dyDescent="0.25">
      <c r="A254">
        <v>36</v>
      </c>
      <c r="B254" t="s">
        <v>296</v>
      </c>
    </row>
    <row r="255" spans="1:2" x14ac:dyDescent="0.25">
      <c r="A255">
        <v>422</v>
      </c>
      <c r="B255" t="s">
        <v>682</v>
      </c>
    </row>
    <row r="256" spans="1:2" x14ac:dyDescent="0.25">
      <c r="A256">
        <v>423</v>
      </c>
      <c r="B256" t="s">
        <v>683</v>
      </c>
    </row>
    <row r="257" spans="1:2" x14ac:dyDescent="0.25">
      <c r="A257">
        <v>400</v>
      </c>
      <c r="B257" t="s">
        <v>660</v>
      </c>
    </row>
    <row r="258" spans="1:2" x14ac:dyDescent="0.25">
      <c r="A258">
        <v>394</v>
      </c>
      <c r="B258" t="s">
        <v>654</v>
      </c>
    </row>
    <row r="259" spans="1:2" x14ac:dyDescent="0.25">
      <c r="A259">
        <v>454</v>
      </c>
      <c r="B259" t="s">
        <v>714</v>
      </c>
    </row>
    <row r="260" spans="1:2" x14ac:dyDescent="0.25">
      <c r="A260">
        <v>145</v>
      </c>
      <c r="B260" t="s">
        <v>405</v>
      </c>
    </row>
    <row r="261" spans="1:2" x14ac:dyDescent="0.25">
      <c r="A261">
        <v>70</v>
      </c>
      <c r="B261" t="s">
        <v>330</v>
      </c>
    </row>
    <row r="262" spans="1:2" x14ac:dyDescent="0.25">
      <c r="A262">
        <v>440</v>
      </c>
      <c r="B262" t="s">
        <v>700</v>
      </c>
    </row>
    <row r="263" spans="1:2" x14ac:dyDescent="0.25">
      <c r="A263">
        <v>60</v>
      </c>
      <c r="B263" t="s">
        <v>320</v>
      </c>
    </row>
    <row r="264" spans="1:2" x14ac:dyDescent="0.25">
      <c r="A264">
        <v>375</v>
      </c>
      <c r="B264" t="s">
        <v>635</v>
      </c>
    </row>
    <row r="265" spans="1:2" x14ac:dyDescent="0.25">
      <c r="A265">
        <v>444</v>
      </c>
      <c r="B265" t="s">
        <v>704</v>
      </c>
    </row>
    <row r="266" spans="1:2" x14ac:dyDescent="0.25">
      <c r="A266">
        <v>417</v>
      </c>
      <c r="B266" t="s">
        <v>677</v>
      </c>
    </row>
    <row r="267" spans="1:2" x14ac:dyDescent="0.25">
      <c r="A267">
        <v>4</v>
      </c>
      <c r="B267" t="s">
        <v>264</v>
      </c>
    </row>
    <row r="268" spans="1:2" x14ac:dyDescent="0.25">
      <c r="A268">
        <v>2</v>
      </c>
      <c r="B268" t="s">
        <v>262</v>
      </c>
    </row>
    <row r="269" spans="1:2" x14ac:dyDescent="0.25">
      <c r="A269">
        <v>415</v>
      </c>
      <c r="B269" t="s">
        <v>675</v>
      </c>
    </row>
    <row r="270" spans="1:2" x14ac:dyDescent="0.25">
      <c r="A270">
        <v>420</v>
      </c>
      <c r="B270" t="s">
        <v>680</v>
      </c>
    </row>
    <row r="271" spans="1:2" x14ac:dyDescent="0.25">
      <c r="A271">
        <v>323</v>
      </c>
      <c r="B271" t="s">
        <v>583</v>
      </c>
    </row>
    <row r="272" spans="1:2" x14ac:dyDescent="0.25">
      <c r="A272">
        <v>327</v>
      </c>
      <c r="B272" t="s">
        <v>587</v>
      </c>
    </row>
    <row r="273" spans="1:2" x14ac:dyDescent="0.25">
      <c r="A273">
        <v>429</v>
      </c>
      <c r="B273" t="s">
        <v>689</v>
      </c>
    </row>
    <row r="274" spans="1:2" x14ac:dyDescent="0.25">
      <c r="A274">
        <v>272</v>
      </c>
      <c r="B274" t="s">
        <v>532</v>
      </c>
    </row>
    <row r="275" spans="1:2" x14ac:dyDescent="0.25">
      <c r="A275">
        <v>23</v>
      </c>
      <c r="B275" t="s">
        <v>283</v>
      </c>
    </row>
    <row r="276" spans="1:2" x14ac:dyDescent="0.25">
      <c r="A276">
        <v>304</v>
      </c>
      <c r="B276" t="s">
        <v>564</v>
      </c>
    </row>
    <row r="277" spans="1:2" x14ac:dyDescent="0.25">
      <c r="A277">
        <v>185</v>
      </c>
      <c r="B277" t="s">
        <v>445</v>
      </c>
    </row>
    <row r="278" spans="1:2" x14ac:dyDescent="0.25">
      <c r="A278">
        <v>313</v>
      </c>
      <c r="B278" t="s">
        <v>573</v>
      </c>
    </row>
    <row r="279" spans="1:2" x14ac:dyDescent="0.25">
      <c r="A279">
        <v>438</v>
      </c>
      <c r="B279" t="s">
        <v>698</v>
      </c>
    </row>
    <row r="280" spans="1:2" x14ac:dyDescent="0.25">
      <c r="A280">
        <v>291</v>
      </c>
      <c r="B280" t="s">
        <v>551</v>
      </c>
    </row>
    <row r="281" spans="1:2" x14ac:dyDescent="0.25">
      <c r="A281">
        <v>348</v>
      </c>
      <c r="B281" t="s">
        <v>608</v>
      </c>
    </row>
    <row r="282" spans="1:2" x14ac:dyDescent="0.25">
      <c r="A282">
        <v>319</v>
      </c>
      <c r="B282" t="s">
        <v>579</v>
      </c>
    </row>
    <row r="283" spans="1:2" x14ac:dyDescent="0.25">
      <c r="A283">
        <v>200</v>
      </c>
      <c r="B283" t="s">
        <v>460</v>
      </c>
    </row>
    <row r="284" spans="1:2" x14ac:dyDescent="0.25">
      <c r="A284">
        <v>383</v>
      </c>
      <c r="B284" t="s">
        <v>643</v>
      </c>
    </row>
    <row r="285" spans="1:2" x14ac:dyDescent="0.25">
      <c r="A285">
        <v>384</v>
      </c>
      <c r="B285" t="s">
        <v>644</v>
      </c>
    </row>
    <row r="286" spans="1:2" x14ac:dyDescent="0.25">
      <c r="A286">
        <v>158</v>
      </c>
      <c r="B286" t="s">
        <v>418</v>
      </c>
    </row>
    <row r="287" spans="1:2" x14ac:dyDescent="0.25">
      <c r="A287">
        <v>213</v>
      </c>
      <c r="B287" t="s">
        <v>473</v>
      </c>
    </row>
    <row r="288" spans="1:2" x14ac:dyDescent="0.25">
      <c r="A288">
        <v>288</v>
      </c>
      <c r="B288" t="s">
        <v>548</v>
      </c>
    </row>
    <row r="289" spans="1:2" x14ac:dyDescent="0.25">
      <c r="A289">
        <v>353</v>
      </c>
      <c r="B289" t="s">
        <v>613</v>
      </c>
    </row>
    <row r="290" spans="1:2" x14ac:dyDescent="0.25">
      <c r="A290">
        <v>374</v>
      </c>
      <c r="B290" t="s">
        <v>634</v>
      </c>
    </row>
    <row r="291" spans="1:2" x14ac:dyDescent="0.25">
      <c r="A291">
        <v>389</v>
      </c>
      <c r="B291" t="s">
        <v>649</v>
      </c>
    </row>
    <row r="292" spans="1:2" x14ac:dyDescent="0.25">
      <c r="A292">
        <v>447</v>
      </c>
      <c r="B292" t="s">
        <v>707</v>
      </c>
    </row>
    <row r="293" spans="1:2" x14ac:dyDescent="0.25">
      <c r="A293">
        <v>124</v>
      </c>
      <c r="B293" t="s">
        <v>384</v>
      </c>
    </row>
    <row r="294" spans="1:2" x14ac:dyDescent="0.25">
      <c r="A294">
        <v>322</v>
      </c>
      <c r="B294" t="s">
        <v>582</v>
      </c>
    </row>
    <row r="295" spans="1:2" x14ac:dyDescent="0.25">
      <c r="A295">
        <v>227</v>
      </c>
      <c r="B295" t="s">
        <v>487</v>
      </c>
    </row>
    <row r="296" spans="1:2" x14ac:dyDescent="0.25">
      <c r="A296">
        <v>317</v>
      </c>
      <c r="B296" t="s">
        <v>577</v>
      </c>
    </row>
    <row r="297" spans="1:2" x14ac:dyDescent="0.25">
      <c r="A297">
        <v>59</v>
      </c>
      <c r="B297" t="s">
        <v>319</v>
      </c>
    </row>
    <row r="298" spans="1:2" x14ac:dyDescent="0.25">
      <c r="A298">
        <v>144</v>
      </c>
      <c r="B298" t="s">
        <v>404</v>
      </c>
    </row>
    <row r="299" spans="1:2" x14ac:dyDescent="0.25">
      <c r="A299">
        <v>366</v>
      </c>
      <c r="B299" t="s">
        <v>626</v>
      </c>
    </row>
    <row r="300" spans="1:2" x14ac:dyDescent="0.25">
      <c r="A300">
        <v>426</v>
      </c>
      <c r="B300" t="s">
        <v>686</v>
      </c>
    </row>
    <row r="301" spans="1:2" x14ac:dyDescent="0.25">
      <c r="A301">
        <v>294</v>
      </c>
      <c r="B301" t="s">
        <v>554</v>
      </c>
    </row>
    <row r="302" spans="1:2" x14ac:dyDescent="0.25">
      <c r="A302">
        <v>413</v>
      </c>
      <c r="B302" t="s">
        <v>673</v>
      </c>
    </row>
    <row r="303" spans="1:2" x14ac:dyDescent="0.25">
      <c r="A303">
        <v>289</v>
      </c>
      <c r="B303" t="s">
        <v>549</v>
      </c>
    </row>
    <row r="304" spans="1:2" x14ac:dyDescent="0.25">
      <c r="A304">
        <v>28</v>
      </c>
      <c r="B304" t="s">
        <v>288</v>
      </c>
    </row>
    <row r="305" spans="1:2" x14ac:dyDescent="0.25">
      <c r="A305">
        <v>27</v>
      </c>
      <c r="B305" t="s">
        <v>287</v>
      </c>
    </row>
    <row r="306" spans="1:2" x14ac:dyDescent="0.25">
      <c r="A306">
        <v>176</v>
      </c>
      <c r="B306" t="s">
        <v>436</v>
      </c>
    </row>
    <row r="307" spans="1:2" x14ac:dyDescent="0.25">
      <c r="A307">
        <v>336</v>
      </c>
      <c r="B307" t="s">
        <v>596</v>
      </c>
    </row>
    <row r="308" spans="1:2" x14ac:dyDescent="0.25">
      <c r="A308">
        <v>207</v>
      </c>
      <c r="B308" t="s">
        <v>467</v>
      </c>
    </row>
    <row r="309" spans="1:2" x14ac:dyDescent="0.25">
      <c r="A309">
        <v>324</v>
      </c>
      <c r="B309" t="s">
        <v>584</v>
      </c>
    </row>
    <row r="310" spans="1:2" x14ac:dyDescent="0.25">
      <c r="A310">
        <v>441</v>
      </c>
      <c r="B310" t="s">
        <v>701</v>
      </c>
    </row>
    <row r="311" spans="1:2" x14ac:dyDescent="0.25">
      <c r="A311">
        <v>233</v>
      </c>
      <c r="B311" t="s">
        <v>493</v>
      </c>
    </row>
    <row r="312" spans="1:2" x14ac:dyDescent="0.25">
      <c r="A312">
        <v>451</v>
      </c>
      <c r="B312" t="s">
        <v>711</v>
      </c>
    </row>
    <row r="313" spans="1:2" x14ac:dyDescent="0.25">
      <c r="A313">
        <v>271</v>
      </c>
      <c r="B313" t="s">
        <v>531</v>
      </c>
    </row>
    <row r="314" spans="1:2" x14ac:dyDescent="0.25">
      <c r="A314">
        <v>270</v>
      </c>
      <c r="B314" t="s">
        <v>530</v>
      </c>
    </row>
    <row r="315" spans="1:2" x14ac:dyDescent="0.25">
      <c r="A315">
        <v>138</v>
      </c>
      <c r="B315" t="s">
        <v>398</v>
      </c>
    </row>
    <row r="316" spans="1:2" x14ac:dyDescent="0.25">
      <c r="A316">
        <v>301</v>
      </c>
      <c r="B316" t="s">
        <v>561</v>
      </c>
    </row>
    <row r="317" spans="1:2" x14ac:dyDescent="0.25">
      <c r="A317">
        <v>372</v>
      </c>
      <c r="B317" t="s">
        <v>632</v>
      </c>
    </row>
    <row r="318" spans="1:2" x14ac:dyDescent="0.25">
      <c r="A318">
        <v>98</v>
      </c>
      <c r="B318" t="s">
        <v>358</v>
      </c>
    </row>
    <row r="319" spans="1:2" x14ac:dyDescent="0.25">
      <c r="A319">
        <v>137</v>
      </c>
      <c r="B319" t="s">
        <v>397</v>
      </c>
    </row>
    <row r="320" spans="1:2" x14ac:dyDescent="0.25">
      <c r="A320">
        <v>135</v>
      </c>
      <c r="B320" t="s">
        <v>395</v>
      </c>
    </row>
    <row r="321" spans="1:2" x14ac:dyDescent="0.25">
      <c r="A321">
        <v>77</v>
      </c>
      <c r="B321" t="s">
        <v>337</v>
      </c>
    </row>
    <row r="322" spans="1:2" x14ac:dyDescent="0.25">
      <c r="A322">
        <v>365</v>
      </c>
      <c r="B322" t="s">
        <v>625</v>
      </c>
    </row>
    <row r="323" spans="1:2" x14ac:dyDescent="0.25">
      <c r="A323">
        <v>223</v>
      </c>
      <c r="B323" t="s">
        <v>483</v>
      </c>
    </row>
    <row r="324" spans="1:2" x14ac:dyDescent="0.25">
      <c r="A324">
        <v>356</v>
      </c>
      <c r="B324" t="s">
        <v>616</v>
      </c>
    </row>
    <row r="325" spans="1:2" x14ac:dyDescent="0.25">
      <c r="A325">
        <v>125</v>
      </c>
      <c r="B325" t="s">
        <v>385</v>
      </c>
    </row>
    <row r="326" spans="1:2" x14ac:dyDescent="0.25">
      <c r="A326">
        <v>371</v>
      </c>
      <c r="B326" t="s">
        <v>631</v>
      </c>
    </row>
    <row r="327" spans="1:2" x14ac:dyDescent="0.25">
      <c r="A327">
        <v>393</v>
      </c>
      <c r="B327" t="s">
        <v>653</v>
      </c>
    </row>
    <row r="328" spans="1:2" x14ac:dyDescent="0.25">
      <c r="A328">
        <v>362</v>
      </c>
      <c r="B328" t="s">
        <v>622</v>
      </c>
    </row>
    <row r="329" spans="1:2" x14ac:dyDescent="0.25">
      <c r="A329">
        <v>111</v>
      </c>
      <c r="B329" t="s">
        <v>371</v>
      </c>
    </row>
    <row r="330" spans="1:2" x14ac:dyDescent="0.25">
      <c r="A330">
        <v>130</v>
      </c>
      <c r="B330" t="s">
        <v>390</v>
      </c>
    </row>
    <row r="331" spans="1:2" x14ac:dyDescent="0.25">
      <c r="A331">
        <v>169</v>
      </c>
      <c r="B331" t="s">
        <v>429</v>
      </c>
    </row>
    <row r="332" spans="1:2" x14ac:dyDescent="0.25">
      <c r="A332">
        <v>191</v>
      </c>
      <c r="B332" t="s">
        <v>451</v>
      </c>
    </row>
    <row r="333" spans="1:2" x14ac:dyDescent="0.25">
      <c r="A333">
        <v>452</v>
      </c>
      <c r="B333" t="s">
        <v>712</v>
      </c>
    </row>
    <row r="334" spans="1:2" x14ac:dyDescent="0.25">
      <c r="A334">
        <v>230</v>
      </c>
      <c r="B334" t="s">
        <v>490</v>
      </c>
    </row>
    <row r="335" spans="1:2" x14ac:dyDescent="0.25">
      <c r="A335">
        <v>71</v>
      </c>
      <c r="B335" t="s">
        <v>331</v>
      </c>
    </row>
    <row r="336" spans="1:2" x14ac:dyDescent="0.25">
      <c r="A336">
        <v>51</v>
      </c>
      <c r="B336" t="s">
        <v>311</v>
      </c>
    </row>
    <row r="337" spans="1:2" x14ac:dyDescent="0.25">
      <c r="A337">
        <v>76</v>
      </c>
      <c r="B337" t="s">
        <v>336</v>
      </c>
    </row>
    <row r="338" spans="1:2" x14ac:dyDescent="0.25">
      <c r="A338">
        <v>72</v>
      </c>
      <c r="B338" t="s">
        <v>332</v>
      </c>
    </row>
    <row r="339" spans="1:2" x14ac:dyDescent="0.25">
      <c r="A339">
        <v>85</v>
      </c>
      <c r="B339" t="s">
        <v>345</v>
      </c>
    </row>
    <row r="340" spans="1:2" x14ac:dyDescent="0.25">
      <c r="A340">
        <v>84</v>
      </c>
      <c r="B340" t="s">
        <v>344</v>
      </c>
    </row>
    <row r="341" spans="1:2" x14ac:dyDescent="0.25">
      <c r="A341">
        <v>220</v>
      </c>
      <c r="B341" t="s">
        <v>480</v>
      </c>
    </row>
    <row r="342" spans="1:2" x14ac:dyDescent="0.25">
      <c r="A342">
        <v>443</v>
      </c>
      <c r="B342" t="s">
        <v>703</v>
      </c>
    </row>
    <row r="343" spans="1:2" x14ac:dyDescent="0.25">
      <c r="A343">
        <v>215</v>
      </c>
      <c r="B343" t="s">
        <v>475</v>
      </c>
    </row>
    <row r="344" spans="1:2" x14ac:dyDescent="0.25">
      <c r="A344">
        <v>46</v>
      </c>
      <c r="B344" t="s">
        <v>306</v>
      </c>
    </row>
    <row r="345" spans="1:2" x14ac:dyDescent="0.25">
      <c r="A345">
        <v>450</v>
      </c>
      <c r="B345" t="s">
        <v>710</v>
      </c>
    </row>
    <row r="346" spans="1:2" x14ac:dyDescent="0.25">
      <c r="A346">
        <v>75</v>
      </c>
      <c r="B346" t="s">
        <v>335</v>
      </c>
    </row>
    <row r="347" spans="1:2" x14ac:dyDescent="0.25">
      <c r="A347">
        <v>180</v>
      </c>
      <c r="B347" t="s">
        <v>440</v>
      </c>
    </row>
    <row r="348" spans="1:2" x14ac:dyDescent="0.25">
      <c r="A348">
        <v>321</v>
      </c>
      <c r="B348" t="s">
        <v>581</v>
      </c>
    </row>
    <row r="349" spans="1:2" x14ac:dyDescent="0.25">
      <c r="A349">
        <v>395</v>
      </c>
      <c r="B349" t="s">
        <v>655</v>
      </c>
    </row>
    <row r="350" spans="1:2" x14ac:dyDescent="0.25">
      <c r="A350">
        <v>407</v>
      </c>
      <c r="B350" t="s">
        <v>667</v>
      </c>
    </row>
    <row r="351" spans="1:2" x14ac:dyDescent="0.25">
      <c r="A351">
        <v>194</v>
      </c>
      <c r="B351" t="s">
        <v>454</v>
      </c>
    </row>
    <row r="352" spans="1:2" x14ac:dyDescent="0.25">
      <c r="A352">
        <v>147</v>
      </c>
      <c r="B352" t="s">
        <v>407</v>
      </c>
    </row>
    <row r="353" spans="1:2" x14ac:dyDescent="0.25">
      <c r="A353">
        <v>106</v>
      </c>
      <c r="B353" t="s">
        <v>366</v>
      </c>
    </row>
    <row r="354" spans="1:2" x14ac:dyDescent="0.25">
      <c r="A354">
        <v>100</v>
      </c>
      <c r="B354" t="s">
        <v>360</v>
      </c>
    </row>
    <row r="355" spans="1:2" x14ac:dyDescent="0.25">
      <c r="A355">
        <v>99</v>
      </c>
      <c r="B355" t="s">
        <v>359</v>
      </c>
    </row>
    <row r="356" spans="1:2" x14ac:dyDescent="0.25">
      <c r="A356">
        <v>102</v>
      </c>
      <c r="B356" t="s">
        <v>362</v>
      </c>
    </row>
    <row r="357" spans="1:2" x14ac:dyDescent="0.25">
      <c r="A357">
        <v>129</v>
      </c>
      <c r="B357" t="s">
        <v>389</v>
      </c>
    </row>
    <row r="358" spans="1:2" x14ac:dyDescent="0.25">
      <c r="A358">
        <v>39</v>
      </c>
      <c r="B358" t="s">
        <v>299</v>
      </c>
    </row>
    <row r="359" spans="1:2" x14ac:dyDescent="0.25">
      <c r="A359">
        <v>64</v>
      </c>
      <c r="B359" t="s">
        <v>324</v>
      </c>
    </row>
    <row r="360" spans="1:2" x14ac:dyDescent="0.25">
      <c r="A360">
        <v>386</v>
      </c>
      <c r="B360" t="s">
        <v>646</v>
      </c>
    </row>
    <row r="361" spans="1:2" x14ac:dyDescent="0.25">
      <c r="A361">
        <v>69</v>
      </c>
      <c r="B361" t="s">
        <v>329</v>
      </c>
    </row>
    <row r="362" spans="1:2" x14ac:dyDescent="0.25">
      <c r="A362">
        <v>49</v>
      </c>
      <c r="B362" t="s">
        <v>309</v>
      </c>
    </row>
    <row r="363" spans="1:2" x14ac:dyDescent="0.25">
      <c r="A363">
        <v>201</v>
      </c>
      <c r="B363" t="s">
        <v>461</v>
      </c>
    </row>
    <row r="364" spans="1:2" x14ac:dyDescent="0.25">
      <c r="A364">
        <v>195</v>
      </c>
      <c r="B364" t="s">
        <v>455</v>
      </c>
    </row>
    <row r="365" spans="1:2" x14ac:dyDescent="0.25">
      <c r="A365">
        <v>329</v>
      </c>
      <c r="B365" t="s">
        <v>589</v>
      </c>
    </row>
    <row r="366" spans="1:2" x14ac:dyDescent="0.25">
      <c r="A366">
        <v>58</v>
      </c>
      <c r="B366" t="s">
        <v>318</v>
      </c>
    </row>
    <row r="367" spans="1:2" x14ac:dyDescent="0.25">
      <c r="A367">
        <v>401</v>
      </c>
      <c r="B367" t="s">
        <v>661</v>
      </c>
    </row>
    <row r="368" spans="1:2" x14ac:dyDescent="0.25">
      <c r="A368">
        <v>22</v>
      </c>
      <c r="B368" t="s">
        <v>282</v>
      </c>
    </row>
    <row r="369" spans="1:2" x14ac:dyDescent="0.25">
      <c r="A369">
        <v>242</v>
      </c>
      <c r="B369" t="s">
        <v>502</v>
      </c>
    </row>
    <row r="370" spans="1:2" x14ac:dyDescent="0.25">
      <c r="A370">
        <v>361</v>
      </c>
      <c r="B370" t="s">
        <v>621</v>
      </c>
    </row>
    <row r="371" spans="1:2" x14ac:dyDescent="0.25">
      <c r="A371">
        <v>436</v>
      </c>
      <c r="B371" t="s">
        <v>696</v>
      </c>
    </row>
    <row r="372" spans="1:2" x14ac:dyDescent="0.25">
      <c r="A372">
        <v>110</v>
      </c>
      <c r="B372" t="s">
        <v>370</v>
      </c>
    </row>
    <row r="373" spans="1:2" x14ac:dyDescent="0.25">
      <c r="A373">
        <v>19</v>
      </c>
      <c r="B373" t="s">
        <v>279</v>
      </c>
    </row>
    <row r="374" spans="1:2" x14ac:dyDescent="0.25">
      <c r="A374">
        <v>65</v>
      </c>
      <c r="B374" t="s">
        <v>325</v>
      </c>
    </row>
    <row r="375" spans="1:2" x14ac:dyDescent="0.25">
      <c r="A375">
        <v>3</v>
      </c>
      <c r="B375" t="s">
        <v>263</v>
      </c>
    </row>
    <row r="376" spans="1:2" x14ac:dyDescent="0.25">
      <c r="A376">
        <v>43</v>
      </c>
      <c r="B376" t="s">
        <v>303</v>
      </c>
    </row>
    <row r="377" spans="1:2" x14ac:dyDescent="0.25">
      <c r="A377">
        <v>222</v>
      </c>
      <c r="B377" t="s">
        <v>482</v>
      </c>
    </row>
    <row r="378" spans="1:2" x14ac:dyDescent="0.25">
      <c r="A378">
        <v>131</v>
      </c>
      <c r="B378" t="s">
        <v>391</v>
      </c>
    </row>
    <row r="379" spans="1:2" x14ac:dyDescent="0.25">
      <c r="A379">
        <v>380</v>
      </c>
      <c r="B379" t="s">
        <v>640</v>
      </c>
    </row>
    <row r="380" spans="1:2" x14ac:dyDescent="0.25">
      <c r="A380">
        <v>11</v>
      </c>
      <c r="B380" t="s">
        <v>271</v>
      </c>
    </row>
    <row r="381" spans="1:2" x14ac:dyDescent="0.25">
      <c r="A381">
        <v>13</v>
      </c>
      <c r="B381" t="s">
        <v>273</v>
      </c>
    </row>
    <row r="382" spans="1:2" x14ac:dyDescent="0.25">
      <c r="A382">
        <v>167</v>
      </c>
      <c r="B382" t="s">
        <v>427</v>
      </c>
    </row>
    <row r="383" spans="1:2" x14ac:dyDescent="0.25">
      <c r="A383">
        <v>107</v>
      </c>
      <c r="B383" t="s">
        <v>367</v>
      </c>
    </row>
    <row r="384" spans="1:2" x14ac:dyDescent="0.25">
      <c r="A384">
        <v>448</v>
      </c>
      <c r="B384" t="s">
        <v>708</v>
      </c>
    </row>
    <row r="385" spans="1:2" x14ac:dyDescent="0.25">
      <c r="A385">
        <v>198</v>
      </c>
      <c r="B385" t="s">
        <v>458</v>
      </c>
    </row>
    <row r="386" spans="1:2" x14ac:dyDescent="0.25">
      <c r="A386">
        <v>162</v>
      </c>
      <c r="B386" t="s">
        <v>422</v>
      </c>
    </row>
    <row r="387" spans="1:2" x14ac:dyDescent="0.25">
      <c r="A387">
        <v>282</v>
      </c>
      <c r="B387" t="s">
        <v>542</v>
      </c>
    </row>
    <row r="388" spans="1:2" x14ac:dyDescent="0.25">
      <c r="A388">
        <v>387</v>
      </c>
      <c r="B388" t="s">
        <v>647</v>
      </c>
    </row>
    <row r="389" spans="1:2" x14ac:dyDescent="0.25">
      <c r="A389">
        <v>211</v>
      </c>
      <c r="B389" t="s">
        <v>471</v>
      </c>
    </row>
    <row r="390" spans="1:2" x14ac:dyDescent="0.25">
      <c r="A390">
        <v>335</v>
      </c>
      <c r="B390" t="s">
        <v>595</v>
      </c>
    </row>
    <row r="391" spans="1:2" x14ac:dyDescent="0.25">
      <c r="A391">
        <v>86</v>
      </c>
      <c r="B391" t="s">
        <v>346</v>
      </c>
    </row>
    <row r="392" spans="1:2" x14ac:dyDescent="0.25">
      <c r="A392">
        <v>83</v>
      </c>
      <c r="B392" t="s">
        <v>343</v>
      </c>
    </row>
    <row r="393" spans="1:2" x14ac:dyDescent="0.25">
      <c r="A393">
        <v>161</v>
      </c>
      <c r="B393" t="s">
        <v>421</v>
      </c>
    </row>
    <row r="394" spans="1:2" x14ac:dyDescent="0.25">
      <c r="A394">
        <v>148</v>
      </c>
      <c r="B394" t="s">
        <v>408</v>
      </c>
    </row>
    <row r="395" spans="1:2" x14ac:dyDescent="0.25">
      <c r="A395">
        <v>79</v>
      </c>
      <c r="B395" t="s">
        <v>339</v>
      </c>
    </row>
    <row r="396" spans="1:2" x14ac:dyDescent="0.25">
      <c r="A396">
        <v>252</v>
      </c>
      <c r="B396" t="s">
        <v>512</v>
      </c>
    </row>
    <row r="397" spans="1:2" x14ac:dyDescent="0.25">
      <c r="A397">
        <v>105</v>
      </c>
      <c r="B397" t="s">
        <v>365</v>
      </c>
    </row>
    <row r="398" spans="1:2" x14ac:dyDescent="0.25">
      <c r="A398">
        <v>112</v>
      </c>
      <c r="B398" t="s">
        <v>372</v>
      </c>
    </row>
    <row r="399" spans="1:2" x14ac:dyDescent="0.25">
      <c r="A399">
        <v>80</v>
      </c>
      <c r="B399" t="s">
        <v>340</v>
      </c>
    </row>
    <row r="400" spans="1:2" x14ac:dyDescent="0.25">
      <c r="A400">
        <v>410</v>
      </c>
      <c r="B400" t="s">
        <v>670</v>
      </c>
    </row>
    <row r="401" spans="1:2" x14ac:dyDescent="0.25">
      <c r="A401">
        <v>320</v>
      </c>
      <c r="B401" t="s">
        <v>580</v>
      </c>
    </row>
    <row r="402" spans="1:2" x14ac:dyDescent="0.25">
      <c r="A402">
        <v>377</v>
      </c>
      <c r="B402" t="s">
        <v>637</v>
      </c>
    </row>
    <row r="403" spans="1:2" x14ac:dyDescent="0.25">
      <c r="A403">
        <v>218</v>
      </c>
      <c r="B403" t="s">
        <v>478</v>
      </c>
    </row>
    <row r="404" spans="1:2" x14ac:dyDescent="0.25">
      <c r="A404">
        <v>92</v>
      </c>
      <c r="B404" t="s">
        <v>352</v>
      </c>
    </row>
    <row r="405" spans="1:2" x14ac:dyDescent="0.25">
      <c r="A405">
        <v>88</v>
      </c>
      <c r="B405" t="s">
        <v>348</v>
      </c>
    </row>
    <row r="406" spans="1:2" x14ac:dyDescent="0.25">
      <c r="A406">
        <v>345</v>
      </c>
      <c r="B406" t="s">
        <v>605</v>
      </c>
    </row>
    <row r="407" spans="1:2" x14ac:dyDescent="0.25">
      <c r="A407">
        <v>357</v>
      </c>
      <c r="B407" t="s">
        <v>617</v>
      </c>
    </row>
    <row r="408" spans="1:2" x14ac:dyDescent="0.25">
      <c r="A408">
        <v>8</v>
      </c>
      <c r="B408" t="s">
        <v>268</v>
      </c>
    </row>
    <row r="409" spans="1:2" x14ac:dyDescent="0.25">
      <c r="A409">
        <v>5</v>
      </c>
      <c r="B409" t="s">
        <v>265</v>
      </c>
    </row>
    <row r="410" spans="1:2" x14ac:dyDescent="0.25">
      <c r="A410">
        <v>18</v>
      </c>
      <c r="B410" t="s">
        <v>278</v>
      </c>
    </row>
    <row r="411" spans="1:2" x14ac:dyDescent="0.25">
      <c r="A411">
        <v>397</v>
      </c>
      <c r="B411" t="s">
        <v>657</v>
      </c>
    </row>
    <row r="412" spans="1:2" x14ac:dyDescent="0.25">
      <c r="A412">
        <v>308</v>
      </c>
      <c r="B412" t="s">
        <v>568</v>
      </c>
    </row>
    <row r="413" spans="1:2" x14ac:dyDescent="0.25">
      <c r="A413">
        <v>307</v>
      </c>
      <c r="B413" t="s">
        <v>567</v>
      </c>
    </row>
    <row r="414" spans="1:2" x14ac:dyDescent="0.25">
      <c r="A414">
        <v>279</v>
      </c>
      <c r="B414" t="s">
        <v>539</v>
      </c>
    </row>
    <row r="415" spans="1:2" x14ac:dyDescent="0.25">
      <c r="A415">
        <v>300</v>
      </c>
      <c r="B415" t="s">
        <v>560</v>
      </c>
    </row>
    <row r="416" spans="1:2" x14ac:dyDescent="0.25">
      <c r="A416">
        <v>337</v>
      </c>
      <c r="B416" t="s">
        <v>597</v>
      </c>
    </row>
    <row r="417" spans="1:2" x14ac:dyDescent="0.25">
      <c r="A417">
        <v>30</v>
      </c>
      <c r="B417" t="s">
        <v>290</v>
      </c>
    </row>
    <row r="418" spans="1:2" x14ac:dyDescent="0.25">
      <c r="A418">
        <v>29</v>
      </c>
      <c r="B418" t="s">
        <v>289</v>
      </c>
    </row>
    <row r="419" spans="1:2" x14ac:dyDescent="0.25">
      <c r="A419">
        <v>67</v>
      </c>
      <c r="B419" t="s">
        <v>327</v>
      </c>
    </row>
    <row r="420" spans="1:2" x14ac:dyDescent="0.25">
      <c r="A420">
        <v>101</v>
      </c>
      <c r="B420" t="s">
        <v>361</v>
      </c>
    </row>
    <row r="421" spans="1:2" x14ac:dyDescent="0.25">
      <c r="A421">
        <v>24</v>
      </c>
      <c r="B421" t="s">
        <v>284</v>
      </c>
    </row>
    <row r="422" spans="1:2" x14ac:dyDescent="0.25">
      <c r="A422">
        <v>68</v>
      </c>
      <c r="B422" t="s">
        <v>328</v>
      </c>
    </row>
    <row r="423" spans="1:2" x14ac:dyDescent="0.25">
      <c r="A423">
        <v>6</v>
      </c>
      <c r="B423" t="s">
        <v>266</v>
      </c>
    </row>
    <row r="424" spans="1:2" x14ac:dyDescent="0.25">
      <c r="A424">
        <v>7</v>
      </c>
      <c r="B424" t="s">
        <v>267</v>
      </c>
    </row>
    <row r="425" spans="1:2" x14ac:dyDescent="0.25">
      <c r="A425">
        <v>309</v>
      </c>
      <c r="B425" t="s">
        <v>569</v>
      </c>
    </row>
    <row r="426" spans="1:2" x14ac:dyDescent="0.25">
      <c r="A426">
        <v>172</v>
      </c>
      <c r="B426" t="s">
        <v>432</v>
      </c>
    </row>
    <row r="427" spans="1:2" x14ac:dyDescent="0.25">
      <c r="A427">
        <v>174</v>
      </c>
      <c r="B427" t="s">
        <v>434</v>
      </c>
    </row>
    <row r="428" spans="1:2" x14ac:dyDescent="0.25">
      <c r="A428">
        <v>40</v>
      </c>
      <c r="B428" t="s">
        <v>300</v>
      </c>
    </row>
    <row r="429" spans="1:2" x14ac:dyDescent="0.25">
      <c r="A429">
        <v>178</v>
      </c>
      <c r="B429" t="s">
        <v>438</v>
      </c>
    </row>
    <row r="430" spans="1:2" x14ac:dyDescent="0.25">
      <c r="A430">
        <v>416</v>
      </c>
      <c r="B430" t="s">
        <v>676</v>
      </c>
    </row>
    <row r="431" spans="1:2" x14ac:dyDescent="0.25">
      <c r="A431">
        <v>146</v>
      </c>
      <c r="B431" t="s">
        <v>406</v>
      </c>
    </row>
    <row r="432" spans="1:2" x14ac:dyDescent="0.25">
      <c r="A432">
        <v>350</v>
      </c>
      <c r="B432" t="s">
        <v>610</v>
      </c>
    </row>
    <row r="433" spans="1:2" x14ac:dyDescent="0.25">
      <c r="A433">
        <v>109</v>
      </c>
      <c r="B433" t="s">
        <v>369</v>
      </c>
    </row>
    <row r="434" spans="1:2" x14ac:dyDescent="0.25">
      <c r="A434">
        <v>173</v>
      </c>
      <c r="B434" t="s">
        <v>433</v>
      </c>
    </row>
    <row r="435" spans="1:2" x14ac:dyDescent="0.25">
      <c r="A435">
        <v>175</v>
      </c>
      <c r="B435" t="s">
        <v>435</v>
      </c>
    </row>
    <row r="436" spans="1:2" x14ac:dyDescent="0.25">
      <c r="A436">
        <v>20</v>
      </c>
      <c r="B436" t="s">
        <v>280</v>
      </c>
    </row>
    <row r="437" spans="1:2" x14ac:dyDescent="0.25">
      <c r="A437">
        <v>234</v>
      </c>
      <c r="B437" t="s">
        <v>494</v>
      </c>
    </row>
    <row r="438" spans="1:2" x14ac:dyDescent="0.25">
      <c r="A438">
        <v>47</v>
      </c>
      <c r="B438" t="s">
        <v>307</v>
      </c>
    </row>
    <row r="439" spans="1:2" x14ac:dyDescent="0.25">
      <c r="A439">
        <v>189</v>
      </c>
      <c r="B439" t="s">
        <v>449</v>
      </c>
    </row>
    <row r="440" spans="1:2" x14ac:dyDescent="0.25">
      <c r="A440">
        <v>34</v>
      </c>
      <c r="B440" t="s">
        <v>294</v>
      </c>
    </row>
    <row r="441" spans="1:2" x14ac:dyDescent="0.25">
      <c r="A441">
        <v>381</v>
      </c>
      <c r="B441" t="s">
        <v>641</v>
      </c>
    </row>
    <row r="442" spans="1:2" x14ac:dyDescent="0.25">
      <c r="A442">
        <v>404</v>
      </c>
      <c r="B442" t="s">
        <v>664</v>
      </c>
    </row>
    <row r="443" spans="1:2" x14ac:dyDescent="0.25">
      <c r="A443">
        <v>431</v>
      </c>
      <c r="B443" t="s">
        <v>691</v>
      </c>
    </row>
    <row r="444" spans="1:2" x14ac:dyDescent="0.25">
      <c r="A444">
        <v>264</v>
      </c>
      <c r="B444" t="s">
        <v>524</v>
      </c>
    </row>
    <row r="445" spans="1:2" x14ac:dyDescent="0.25">
      <c r="A445">
        <v>254</v>
      </c>
      <c r="B445" t="s">
        <v>514</v>
      </c>
    </row>
    <row r="446" spans="1:2" x14ac:dyDescent="0.25">
      <c r="A446">
        <v>306</v>
      </c>
      <c r="B446" t="s">
        <v>566</v>
      </c>
    </row>
    <row r="447" spans="1:2" x14ac:dyDescent="0.25">
      <c r="A447">
        <v>263</v>
      </c>
      <c r="B447" t="s">
        <v>523</v>
      </c>
    </row>
    <row r="448" spans="1:2" x14ac:dyDescent="0.25">
      <c r="A448">
        <v>296</v>
      </c>
      <c r="B448" t="s">
        <v>556</v>
      </c>
    </row>
    <row r="449" spans="1:2" x14ac:dyDescent="0.25">
      <c r="A449">
        <v>183</v>
      </c>
      <c r="B449" t="s">
        <v>443</v>
      </c>
    </row>
    <row r="450" spans="1:2" x14ac:dyDescent="0.25">
      <c r="A450">
        <v>10</v>
      </c>
      <c r="B450" t="s">
        <v>270</v>
      </c>
    </row>
    <row r="451" spans="1:2" x14ac:dyDescent="0.25">
      <c r="A451">
        <v>369</v>
      </c>
      <c r="B451" t="s">
        <v>629</v>
      </c>
    </row>
    <row r="452" spans="1:2" x14ac:dyDescent="0.25">
      <c r="A452">
        <v>232</v>
      </c>
      <c r="B452" t="s">
        <v>492</v>
      </c>
    </row>
    <row r="453" spans="1:2" x14ac:dyDescent="0.25">
      <c r="A453">
        <v>269</v>
      </c>
      <c r="B453" t="s">
        <v>529</v>
      </c>
    </row>
    <row r="454" spans="1:2" x14ac:dyDescent="0.25">
      <c r="A454">
        <v>286</v>
      </c>
      <c r="B454" t="s">
        <v>546</v>
      </c>
    </row>
    <row r="455" spans="1:2" x14ac:dyDescent="0.25">
      <c r="A455">
        <v>349</v>
      </c>
      <c r="B455" t="s">
        <v>609</v>
      </c>
    </row>
    <row r="457" spans="1:2" x14ac:dyDescent="0.25">
      <c r="A457" s="1" t="s">
        <v>260</v>
      </c>
    </row>
    <row r="458" spans="1:2" x14ac:dyDescent="0.25">
      <c r="A458">
        <v>1</v>
      </c>
      <c r="B458" t="s">
        <v>256</v>
      </c>
    </row>
    <row r="459" spans="1:2" x14ac:dyDescent="0.25">
      <c r="A459">
        <v>2</v>
      </c>
      <c r="B459" t="s">
        <v>241</v>
      </c>
    </row>
    <row r="460" spans="1:2" x14ac:dyDescent="0.25">
      <c r="A460">
        <v>3</v>
      </c>
      <c r="B460" t="s">
        <v>229</v>
      </c>
    </row>
    <row r="461" spans="1:2" x14ac:dyDescent="0.25">
      <c r="A461">
        <v>4</v>
      </c>
      <c r="B461" t="s">
        <v>225</v>
      </c>
    </row>
    <row r="462" spans="1:2" x14ac:dyDescent="0.25">
      <c r="A462">
        <v>5</v>
      </c>
      <c r="B462" t="s">
        <v>727</v>
      </c>
    </row>
    <row r="463" spans="1:2" x14ac:dyDescent="0.25">
      <c r="A463">
        <v>6</v>
      </c>
      <c r="B463" t="s">
        <v>251</v>
      </c>
    </row>
    <row r="464" spans="1:2" x14ac:dyDescent="0.25">
      <c r="A464">
        <v>7</v>
      </c>
      <c r="B464" t="s">
        <v>233</v>
      </c>
    </row>
    <row r="465" spans="1:2" x14ac:dyDescent="0.25">
      <c r="A465">
        <v>8</v>
      </c>
      <c r="B465" t="s">
        <v>227</v>
      </c>
    </row>
    <row r="466" spans="1:2" x14ac:dyDescent="0.25">
      <c r="A466">
        <v>9</v>
      </c>
      <c r="B466" t="s">
        <v>243</v>
      </c>
    </row>
    <row r="467" spans="1:2" x14ac:dyDescent="0.25">
      <c r="A467">
        <v>10</v>
      </c>
      <c r="B467" t="s">
        <v>257</v>
      </c>
    </row>
    <row r="468" spans="1:2" x14ac:dyDescent="0.25">
      <c r="A468">
        <v>11</v>
      </c>
      <c r="B468" t="s">
        <v>253</v>
      </c>
    </row>
    <row r="469" spans="1:2" x14ac:dyDescent="0.25">
      <c r="A469">
        <v>12</v>
      </c>
      <c r="B469" t="s">
        <v>226</v>
      </c>
    </row>
    <row r="470" spans="1:2" x14ac:dyDescent="0.25">
      <c r="A470">
        <v>13</v>
      </c>
      <c r="B470" t="s">
        <v>237</v>
      </c>
    </row>
    <row r="471" spans="1:2" x14ac:dyDescent="0.25">
      <c r="A471">
        <v>14</v>
      </c>
      <c r="B471" t="s">
        <v>228</v>
      </c>
    </row>
    <row r="472" spans="1:2" x14ac:dyDescent="0.25">
      <c r="A472">
        <v>15</v>
      </c>
      <c r="B472" t="s">
        <v>236</v>
      </c>
    </row>
    <row r="473" spans="1:2" x14ac:dyDescent="0.25">
      <c r="A473">
        <v>16</v>
      </c>
      <c r="B473" t="s">
        <v>249</v>
      </c>
    </row>
    <row r="474" spans="1:2" x14ac:dyDescent="0.25">
      <c r="A474">
        <v>17</v>
      </c>
      <c r="B474" t="s">
        <v>250</v>
      </c>
    </row>
    <row r="475" spans="1:2" x14ac:dyDescent="0.25">
      <c r="A475">
        <v>18</v>
      </c>
      <c r="B475" t="s">
        <v>238</v>
      </c>
    </row>
    <row r="476" spans="1:2" x14ac:dyDescent="0.25">
      <c r="A476">
        <v>19</v>
      </c>
      <c r="B476" t="s">
        <v>244</v>
      </c>
    </row>
    <row r="477" spans="1:2" x14ac:dyDescent="0.25">
      <c r="A477">
        <v>20</v>
      </c>
      <c r="B477" t="s">
        <v>242</v>
      </c>
    </row>
    <row r="478" spans="1:2" x14ac:dyDescent="0.25">
      <c r="A478">
        <v>21</v>
      </c>
      <c r="B478" t="s">
        <v>248</v>
      </c>
    </row>
    <row r="479" spans="1:2" x14ac:dyDescent="0.25">
      <c r="A479">
        <v>22</v>
      </c>
      <c r="B479" t="s">
        <v>230</v>
      </c>
    </row>
    <row r="480" spans="1:2" x14ac:dyDescent="0.25">
      <c r="A480">
        <v>23</v>
      </c>
      <c r="B480" t="s">
        <v>231</v>
      </c>
    </row>
    <row r="481" spans="1:10" x14ac:dyDescent="0.25">
      <c r="A481">
        <v>24</v>
      </c>
      <c r="B481" t="s">
        <v>245</v>
      </c>
    </row>
    <row r="482" spans="1:10" x14ac:dyDescent="0.25">
      <c r="A482">
        <v>25</v>
      </c>
      <c r="B482" t="s">
        <v>715</v>
      </c>
    </row>
    <row r="483" spans="1:10" x14ac:dyDescent="0.25">
      <c r="A483">
        <v>26</v>
      </c>
      <c r="B483" t="s">
        <v>239</v>
      </c>
    </row>
    <row r="484" spans="1:10" x14ac:dyDescent="0.25">
      <c r="A484">
        <v>27</v>
      </c>
      <c r="B484" t="s">
        <v>234</v>
      </c>
    </row>
    <row r="485" spans="1:10" x14ac:dyDescent="0.25">
      <c r="A485">
        <v>28</v>
      </c>
      <c r="B485" t="s">
        <v>240</v>
      </c>
    </row>
    <row r="486" spans="1:10" x14ac:dyDescent="0.25">
      <c r="A486">
        <v>29</v>
      </c>
      <c r="B486" t="s">
        <v>255</v>
      </c>
    </row>
    <row r="487" spans="1:10" x14ac:dyDescent="0.25">
      <c r="A487">
        <v>30</v>
      </c>
      <c r="B487" t="s">
        <v>252</v>
      </c>
    </row>
    <row r="488" spans="1:10" x14ac:dyDescent="0.25">
      <c r="A488">
        <v>31</v>
      </c>
      <c r="B488" t="s">
        <v>246</v>
      </c>
    </row>
    <row r="489" spans="1:10" x14ac:dyDescent="0.25">
      <c r="A489">
        <v>32</v>
      </c>
      <c r="B489" t="s">
        <v>235</v>
      </c>
    </row>
    <row r="490" spans="1:10" x14ac:dyDescent="0.25">
      <c r="A490">
        <v>33</v>
      </c>
      <c r="B490" t="s">
        <v>258</v>
      </c>
    </row>
    <row r="491" spans="1:10" x14ac:dyDescent="0.25">
      <c r="A491">
        <v>34</v>
      </c>
      <c r="B491" t="s">
        <v>254</v>
      </c>
    </row>
    <row r="492" spans="1:10" x14ac:dyDescent="0.25">
      <c r="A492">
        <v>35</v>
      </c>
      <c r="B492" t="s">
        <v>232</v>
      </c>
    </row>
    <row r="493" spans="1:10" x14ac:dyDescent="0.25">
      <c r="A493">
        <v>36</v>
      </c>
      <c r="B493" t="s">
        <v>247</v>
      </c>
    </row>
    <row r="495" spans="1:10" x14ac:dyDescent="0.25">
      <c r="A495" s="1" t="s">
        <v>817</v>
      </c>
      <c r="J495" t="s">
        <v>816</v>
      </c>
    </row>
    <row r="496" spans="1:10" x14ac:dyDescent="0.25">
      <c r="B496" t="s">
        <v>835</v>
      </c>
      <c r="C496" s="5" t="s">
        <v>836</v>
      </c>
    </row>
    <row r="497" spans="2:11" x14ac:dyDescent="0.25">
      <c r="B497" t="s">
        <v>767</v>
      </c>
      <c r="C497" s="4" t="s">
        <v>766</v>
      </c>
      <c r="J497" t="s">
        <v>837</v>
      </c>
      <c r="K497" s="4" t="s">
        <v>770</v>
      </c>
    </row>
    <row r="498" spans="2:11" x14ac:dyDescent="0.25">
      <c r="B498" t="s">
        <v>732</v>
      </c>
      <c r="C498" s="4" t="s">
        <v>733</v>
      </c>
    </row>
    <row r="499" spans="2:11" x14ac:dyDescent="0.25">
      <c r="B499" t="s">
        <v>828</v>
      </c>
      <c r="C499" t="s">
        <v>830</v>
      </c>
    </row>
    <row r="500" spans="2:11" x14ac:dyDescent="0.25">
      <c r="B500" t="s">
        <v>785</v>
      </c>
      <c r="C500" t="s">
        <v>750</v>
      </c>
    </row>
    <row r="501" spans="2:11" x14ac:dyDescent="0.25">
      <c r="B501" t="s">
        <v>786</v>
      </c>
      <c r="C501" t="s">
        <v>796</v>
      </c>
    </row>
    <row r="502" spans="2:11" x14ac:dyDescent="0.25">
      <c r="B502" t="s">
        <v>787</v>
      </c>
      <c r="C502" t="s">
        <v>797</v>
      </c>
    </row>
    <row r="503" spans="2:11" x14ac:dyDescent="0.25">
      <c r="B503" t="s">
        <v>788</v>
      </c>
      <c r="C503" t="s">
        <v>798</v>
      </c>
    </row>
    <row r="504" spans="2:11" x14ac:dyDescent="0.25">
      <c r="B504" t="s">
        <v>819</v>
      </c>
      <c r="C504" s="7"/>
    </row>
    <row r="505" spans="2:11" x14ac:dyDescent="0.25">
      <c r="B505" t="s">
        <v>737</v>
      </c>
      <c r="C505" s="4" t="s">
        <v>736</v>
      </c>
    </row>
    <row r="506" spans="2:11" x14ac:dyDescent="0.25">
      <c r="B506" t="s">
        <v>834</v>
      </c>
      <c r="C506" s="4" t="s">
        <v>833</v>
      </c>
    </row>
    <row r="507" spans="2:11" x14ac:dyDescent="0.25">
      <c r="B507" t="s">
        <v>825</v>
      </c>
      <c r="C507" s="4" t="s">
        <v>824</v>
      </c>
    </row>
    <row r="508" spans="2:11" x14ac:dyDescent="0.25">
      <c r="B508" t="s">
        <v>222</v>
      </c>
      <c r="C508" t="s">
        <v>818</v>
      </c>
    </row>
    <row r="509" spans="2:11" x14ac:dyDescent="0.25">
      <c r="B509" t="s">
        <v>820</v>
      </c>
      <c r="C509" t="s">
        <v>838</v>
      </c>
    </row>
    <row r="510" spans="2:11" x14ac:dyDescent="0.25">
      <c r="B510" t="s">
        <v>789</v>
      </c>
      <c r="C510" t="s">
        <v>799</v>
      </c>
    </row>
    <row r="511" spans="2:11" x14ac:dyDescent="0.25">
      <c r="B511" t="s">
        <v>739</v>
      </c>
      <c r="C511" t="s">
        <v>738</v>
      </c>
    </row>
    <row r="512" spans="2:11" x14ac:dyDescent="0.25">
      <c r="B512" t="s">
        <v>827</v>
      </c>
      <c r="C512" s="4" t="s">
        <v>826</v>
      </c>
    </row>
    <row r="513" spans="2:3" x14ac:dyDescent="0.25">
      <c r="B513" t="s">
        <v>822</v>
      </c>
      <c r="C513" t="s">
        <v>821</v>
      </c>
    </row>
    <row r="514" spans="2:3" x14ac:dyDescent="0.25">
      <c r="B514" t="s">
        <v>780</v>
      </c>
      <c r="C514" t="s">
        <v>782</v>
      </c>
    </row>
    <row r="515" spans="2:3" x14ac:dyDescent="0.25">
      <c r="B515" t="s">
        <v>790</v>
      </c>
    </row>
    <row r="516" spans="2:3" x14ac:dyDescent="0.25">
      <c r="B516" t="s">
        <v>791</v>
      </c>
      <c r="C516" t="s">
        <v>800</v>
      </c>
    </row>
    <row r="517" spans="2:3" x14ac:dyDescent="0.25">
      <c r="B517" t="s">
        <v>772</v>
      </c>
      <c r="C517" s="4" t="s">
        <v>771</v>
      </c>
    </row>
    <row r="518" spans="2:3" x14ac:dyDescent="0.25">
      <c r="B518" t="s">
        <v>829</v>
      </c>
      <c r="C518" t="s">
        <v>770</v>
      </c>
    </row>
    <row r="519" spans="2:3" x14ac:dyDescent="0.25">
      <c r="B519" t="s">
        <v>728</v>
      </c>
      <c r="C519" t="s">
        <v>729</v>
      </c>
    </row>
    <row r="520" spans="2:3" x14ac:dyDescent="0.25">
      <c r="B520" t="s">
        <v>741</v>
      </c>
      <c r="C520" t="s">
        <v>740</v>
      </c>
    </row>
    <row r="521" spans="2:3" x14ac:dyDescent="0.25">
      <c r="B521" s="6" t="s">
        <v>743</v>
      </c>
      <c r="C521" s="6" t="s">
        <v>742</v>
      </c>
    </row>
    <row r="522" spans="2:3" x14ac:dyDescent="0.25">
      <c r="B522" t="s">
        <v>731</v>
      </c>
      <c r="C522" t="s">
        <v>801</v>
      </c>
    </row>
    <row r="523" spans="2:3" x14ac:dyDescent="0.25">
      <c r="B523" t="s">
        <v>746</v>
      </c>
      <c r="C523" s="4" t="s">
        <v>745</v>
      </c>
    </row>
    <row r="524" spans="2:3" x14ac:dyDescent="0.25">
      <c r="B524" t="s">
        <v>749</v>
      </c>
      <c r="C524" t="s">
        <v>748</v>
      </c>
    </row>
    <row r="525" spans="2:3" x14ac:dyDescent="0.25">
      <c r="B525" t="s">
        <v>832</v>
      </c>
      <c r="C525" t="s">
        <v>831</v>
      </c>
    </row>
    <row r="526" spans="2:3" x14ac:dyDescent="0.25">
      <c r="B526" t="s">
        <v>792</v>
      </c>
    </row>
    <row r="527" spans="2:3" x14ac:dyDescent="0.25">
      <c r="B527" t="s">
        <v>751</v>
      </c>
      <c r="C527" s="4" t="s">
        <v>750</v>
      </c>
    </row>
    <row r="528" spans="2:3" x14ac:dyDescent="0.25">
      <c r="B528" t="s">
        <v>751</v>
      </c>
      <c r="C528" t="s">
        <v>770</v>
      </c>
    </row>
    <row r="529" spans="2:3" x14ac:dyDescent="0.25">
      <c r="B529" t="s">
        <v>793</v>
      </c>
      <c r="C529" t="s">
        <v>770</v>
      </c>
    </row>
    <row r="530" spans="2:3" x14ac:dyDescent="0.25">
      <c r="B530" t="s">
        <v>823</v>
      </c>
      <c r="C530" t="s">
        <v>770</v>
      </c>
    </row>
    <row r="531" spans="2:3" x14ac:dyDescent="0.25">
      <c r="B531" t="s">
        <v>781</v>
      </c>
      <c r="C531" t="s">
        <v>783</v>
      </c>
    </row>
    <row r="532" spans="2:3" x14ac:dyDescent="0.25">
      <c r="B532" t="s">
        <v>781</v>
      </c>
    </row>
    <row r="533" spans="2:3" x14ac:dyDescent="0.25">
      <c r="B533" t="s">
        <v>777</v>
      </c>
      <c r="C533" t="s">
        <v>770</v>
      </c>
    </row>
    <row r="534" spans="2:3" x14ac:dyDescent="0.25">
      <c r="B534" t="s">
        <v>777</v>
      </c>
      <c r="C534" t="s">
        <v>778</v>
      </c>
    </row>
    <row r="535" spans="2:3" x14ac:dyDescent="0.25">
      <c r="B535" s="6" t="s">
        <v>794</v>
      </c>
      <c r="C535" s="8" t="s">
        <v>802</v>
      </c>
    </row>
    <row r="536" spans="2:3" x14ac:dyDescent="0.25">
      <c r="B536" t="s">
        <v>795</v>
      </c>
      <c r="C536" t="s">
        <v>731</v>
      </c>
    </row>
  </sheetData>
  <sortState xmlns:xlrd2="http://schemas.microsoft.com/office/spreadsheetml/2017/richdata2" ref="B497:C536">
    <sortCondition ref="B497:B536"/>
  </sortState>
  <hyperlinks>
    <hyperlink ref="C507" r:id="rId1" xr:uid="{5CD8D56D-7FA7-4FA1-A28C-DA622B7D6211}"/>
    <hyperlink ref="C527" r:id="rId2" xr:uid="{435F2126-B4AD-4352-AA43-5774B9A2A818}"/>
    <hyperlink ref="C505" r:id="rId3" xr:uid="{A7CC89D0-5B51-4ABE-A5D0-9AD797360F69}"/>
    <hyperlink ref="C512" r:id="rId4" xr:uid="{140C8D58-286E-4EB3-A502-BDF3F610D238}"/>
    <hyperlink ref="K497" r:id="rId5" xr:uid="{A3BEC8D2-0045-4E28-ABF8-E3C8C3B57531}"/>
    <hyperlink ref="C498" r:id="rId6" xr:uid="{3143111E-F538-466B-9BD7-AFBCD43932AA}"/>
    <hyperlink ref="C506" r:id="rId7" xr:uid="{665AF14F-DE5A-4D87-8419-61651FC044F7}"/>
    <hyperlink ref="C517" r:id="rId8" xr:uid="{7B013027-06D7-4E79-B0CD-84A3D0554DCB}"/>
    <hyperlink ref="C523" r:id="rId9" xr:uid="{202FD841-3A22-4A3F-89E3-31AF515E2599}"/>
    <hyperlink ref="C535" r:id="rId10" xr:uid="{EB522605-BE03-4264-AB89-4E1ED79BE943}"/>
  </hyperlinks>
  <pageMargins left="0.7" right="0.7" top="0.75" bottom="0.75" header="0.3" footer="0.3"/>
</worksheet>
</file>

<file path=docMetadata/LabelInfo.xml><?xml version="1.0" encoding="utf-8"?>
<clbl:labelList xmlns:clbl="http://schemas.microsoft.com/office/2020/mipLabelMetadata">
  <clbl:label id="{b9c0cf9b-95a9-4ed9-8c9f-08b60a31829d}" enabled="0" method="" siteId="{b9c0cf9b-95a9-4ed9-8c9f-08b60a31829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ER_unchanged</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Mads Troldborg</dc:creator>
  <cp:lastModifiedBy>Mads Troldborg</cp:lastModifiedBy>
  <dcterms:created xsi:type="dcterms:W3CDTF">2025-05-26T13:34:39Z</dcterms:created>
  <dcterms:modified xsi:type="dcterms:W3CDTF">2026-02-26T11:07:08Z</dcterms:modified>
</cp:coreProperties>
</file>